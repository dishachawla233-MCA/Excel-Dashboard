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hidePivotFieldList="1" defaultThemeVersion="166925"/>
  <mc:AlternateContent xmlns:mc="http://schemas.openxmlformats.org/markup-compatibility/2006">
    <mc:Choice Requires="x15">
      <x15ac:absPath xmlns:x15ac="http://schemas.microsoft.com/office/spreadsheetml/2010/11/ac" url="C:\Users\pranjal chawla\Desktop\"/>
    </mc:Choice>
  </mc:AlternateContent>
  <xr:revisionPtr revIDLastSave="0" documentId="13_ncr:1_{04086381-92DA-4BA5-A5BD-1916AB898CA8}" xr6:coauthVersionLast="47" xr6:coauthVersionMax="47" xr10:uidLastSave="{00000000-0000-0000-0000-000000000000}"/>
  <bookViews>
    <workbookView xWindow="-108" yWindow="-108" windowWidth="23256" windowHeight="12456" firstSheet="3" activeTab="3" xr2:uid="{2DDF7FFE-FD6D-4502-929E-CED5E7923297}"/>
  </bookViews>
  <sheets>
    <sheet name="sales vs orders" sheetId="2" r:id="rId1"/>
    <sheet name="female vs male" sheetId="4" r:id="rId2"/>
    <sheet name="age_group" sheetId="6" r:id="rId3"/>
    <sheet name="Vanshika store report" sheetId="7" r:id="rId4"/>
    <sheet name="sales citywise" sheetId="8" r:id="rId5"/>
    <sheet name="order status" sheetId="10" r:id="rId6"/>
    <sheet name="order channel" sheetId="11" r:id="rId7"/>
    <sheet name="categoryquantity" sheetId="13" r:id="rId8"/>
    <sheet name="data_clothing" sheetId="1" r:id="rId9"/>
  </sheets>
  <definedNames>
    <definedName name="Slicer_channel">#N/A</definedName>
    <definedName name="Slicer_gender">#N/A</definedName>
    <definedName name="Slicer_shipping_city">#N/A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F2" i="1" a="1"/>
  <c r="F2" i="1" s="1"/>
  <c r="F3" i="1" a="1"/>
  <c r="F3" i="1" s="1"/>
  <c r="F4" i="1" a="1"/>
  <c r="F4" i="1" s="1"/>
  <c r="F5" i="1" a="1"/>
  <c r="F5" i="1" s="1"/>
  <c r="F6" i="1" a="1"/>
  <c r="F6" i="1" s="1"/>
  <c r="F7" i="1" a="1"/>
  <c r="F7" i="1" s="1"/>
  <c r="F8" i="1" a="1"/>
  <c r="F8" i="1" s="1"/>
  <c r="F9" i="1" a="1"/>
  <c r="F9" i="1"/>
  <c r="F10" i="1" a="1"/>
  <c r="F10" i="1" s="1"/>
  <c r="F11" i="1" a="1"/>
  <c r="F11" i="1" s="1"/>
  <c r="F12" i="1" a="1"/>
  <c r="F12" i="1" s="1"/>
  <c r="F13" i="1" a="1"/>
  <c r="F13" i="1" s="1"/>
  <c r="F14" i="1" a="1"/>
  <c r="F14" i="1" s="1"/>
  <c r="F15" i="1" a="1"/>
  <c r="F15" i="1" s="1"/>
  <c r="F16" i="1" a="1"/>
  <c r="F16" i="1"/>
  <c r="F17" i="1" a="1"/>
  <c r="F17" i="1" s="1"/>
  <c r="F18" i="1" a="1"/>
  <c r="F18" i="1" s="1"/>
  <c r="F19" i="1" a="1"/>
  <c r="F19" i="1"/>
  <c r="F20" i="1" a="1"/>
  <c r="F20" i="1" s="1"/>
  <c r="F21" i="1" a="1"/>
  <c r="F21" i="1" s="1"/>
  <c r="F22" i="1" a="1"/>
  <c r="F22" i="1" s="1"/>
  <c r="F23" i="1" a="1"/>
  <c r="F23" i="1" s="1"/>
  <c r="F24" i="1" a="1"/>
  <c r="F24" i="1" s="1"/>
  <c r="F25" i="1" a="1"/>
  <c r="F25" i="1"/>
  <c r="F26" i="1" a="1"/>
  <c r="F26" i="1" s="1"/>
  <c r="F27" i="1" a="1"/>
  <c r="F27" i="1" s="1"/>
  <c r="F28" i="1" a="1"/>
  <c r="F28" i="1" s="1"/>
  <c r="F29" i="1" a="1"/>
  <c r="F29" i="1" s="1"/>
  <c r="F30" i="1" a="1"/>
  <c r="F30" i="1" s="1"/>
  <c r="F31" i="1" a="1"/>
  <c r="F31" i="1" s="1"/>
  <c r="F32" i="1" a="1"/>
  <c r="F32" i="1" s="1"/>
  <c r="F33" i="1" a="1"/>
  <c r="F33" i="1" s="1"/>
  <c r="F34" i="1" a="1"/>
  <c r="F34" i="1" s="1"/>
  <c r="F35" i="1" a="1"/>
  <c r="F35" i="1" s="1"/>
  <c r="F36" i="1" a="1"/>
  <c r="F36" i="1"/>
  <c r="F37" i="1" a="1"/>
  <c r="F37" i="1" s="1"/>
  <c r="F38" i="1" a="1"/>
  <c r="F38" i="1" s="1"/>
  <c r="F39" i="1" a="1"/>
  <c r="F39" i="1"/>
  <c r="F40" i="1" a="1"/>
  <c r="F40" i="1" s="1"/>
  <c r="F41" i="1" a="1"/>
  <c r="F41" i="1" s="1"/>
  <c r="F42" i="1" a="1"/>
  <c r="F42" i="1" s="1"/>
  <c r="F43" i="1" a="1"/>
  <c r="F43" i="1" s="1"/>
  <c r="F44" i="1" a="1"/>
  <c r="F44" i="1" s="1"/>
  <c r="F45" i="1" a="1"/>
  <c r="F45" i="1" s="1"/>
  <c r="F46" i="1" a="1"/>
  <c r="F46" i="1"/>
  <c r="F47" i="1" a="1"/>
  <c r="F47" i="1"/>
  <c r="F48" i="1" a="1"/>
  <c r="F48" i="1" s="1"/>
  <c r="F49" i="1" a="1"/>
  <c r="F49" i="1" s="1"/>
  <c r="F50" i="1" a="1"/>
  <c r="F50" i="1" s="1"/>
  <c r="F51" i="1" a="1"/>
  <c r="F51" i="1" s="1"/>
  <c r="F52" i="1" a="1"/>
  <c r="F52" i="1" s="1"/>
  <c r="F53" i="1" a="1"/>
  <c r="F53" i="1" s="1"/>
  <c r="F54" i="1" a="1"/>
  <c r="F54" i="1" s="1"/>
  <c r="F55" i="1" a="1"/>
  <c r="F55" i="1" s="1"/>
  <c r="F56" i="1" a="1"/>
  <c r="F56" i="1" s="1"/>
  <c r="F57" i="1" a="1"/>
  <c r="F57" i="1" s="1"/>
  <c r="F58" i="1" a="1"/>
  <c r="F58" i="1" s="1"/>
  <c r="F59" i="1" a="1"/>
  <c r="F59" i="1" s="1"/>
  <c r="F60" i="1" a="1"/>
  <c r="F60" i="1" s="1"/>
  <c r="F61" i="1" a="1"/>
  <c r="F61" i="1"/>
  <c r="F62" i="1" a="1"/>
  <c r="F62" i="1" s="1"/>
  <c r="F63" i="1" a="1"/>
  <c r="F63" i="1" s="1"/>
  <c r="F64" i="1" a="1"/>
  <c r="F64" i="1" s="1"/>
  <c r="F65" i="1" a="1"/>
  <c r="F65" i="1" s="1"/>
  <c r="F66" i="1" a="1"/>
  <c r="F66" i="1" s="1"/>
  <c r="F67" i="1" a="1"/>
  <c r="F67" i="1" s="1"/>
  <c r="F68" i="1" a="1"/>
  <c r="F68" i="1" s="1"/>
  <c r="F69" i="1" a="1"/>
  <c r="F69" i="1"/>
  <c r="F70" i="1" a="1"/>
  <c r="F70" i="1" s="1"/>
  <c r="F71" i="1" a="1"/>
  <c r="F71" i="1" s="1"/>
  <c r="F72" i="1" a="1"/>
  <c r="F72" i="1"/>
  <c r="F73" i="1" a="1"/>
  <c r="F73" i="1" s="1"/>
  <c r="F74" i="1" a="1"/>
  <c r="F74" i="1" s="1"/>
  <c r="F75" i="1" a="1"/>
  <c r="F75" i="1" s="1"/>
  <c r="F76" i="1" a="1"/>
  <c r="F76" i="1"/>
  <c r="F77" i="1" a="1"/>
  <c r="F77" i="1" s="1"/>
  <c r="F78" i="1" a="1"/>
  <c r="F78" i="1"/>
  <c r="F79" i="1" a="1"/>
  <c r="F79" i="1" s="1"/>
  <c r="F80" i="1" a="1"/>
  <c r="F80" i="1" s="1"/>
  <c r="F81" i="1" a="1"/>
  <c r="F81" i="1" s="1"/>
  <c r="F82" i="1" a="1"/>
  <c r="F82" i="1" s="1"/>
  <c r="F83" i="1" a="1"/>
  <c r="F83" i="1" s="1"/>
  <c r="F84" i="1" a="1"/>
  <c r="F84" i="1" s="1"/>
  <c r="F85" i="1" a="1"/>
  <c r="F85" i="1"/>
  <c r="F86" i="1" a="1"/>
  <c r="F86" i="1" s="1"/>
  <c r="F87" i="1" a="1"/>
  <c r="F87" i="1" s="1"/>
  <c r="F88" i="1" a="1"/>
  <c r="F88" i="1" s="1"/>
  <c r="F89" i="1" a="1"/>
  <c r="F89" i="1" s="1"/>
  <c r="F90" i="1" a="1"/>
  <c r="F90" i="1" s="1"/>
  <c r="F91" i="1" a="1"/>
  <c r="F91" i="1" s="1"/>
  <c r="F92" i="1" a="1"/>
  <c r="F92" i="1" s="1"/>
  <c r="F93" i="1" a="1"/>
  <c r="F93" i="1" s="1"/>
  <c r="F94" i="1" a="1"/>
  <c r="F94" i="1"/>
  <c r="F95" i="1" a="1"/>
  <c r="F95" i="1"/>
  <c r="F96" i="1" a="1"/>
  <c r="F96" i="1" s="1"/>
  <c r="F97" i="1" a="1"/>
  <c r="F97" i="1" s="1"/>
  <c r="F98" i="1" a="1"/>
  <c r="F98" i="1" s="1"/>
  <c r="F99" i="1" a="1"/>
  <c r="F99" i="1" s="1"/>
  <c r="F100" i="1" a="1"/>
  <c r="F100" i="1" s="1"/>
  <c r="F101" i="1" a="1"/>
  <c r="F101" i="1" s="1"/>
  <c r="F102" i="1" a="1"/>
  <c r="F102" i="1" s="1"/>
  <c r="F103" i="1" a="1"/>
  <c r="F103" i="1" s="1"/>
  <c r="F104" i="1" a="1"/>
  <c r="F104" i="1" s="1"/>
  <c r="F105" i="1" a="1"/>
  <c r="F105" i="1" s="1"/>
  <c r="F106" i="1" a="1"/>
  <c r="F106" i="1" s="1"/>
  <c r="F107" i="1" a="1"/>
  <c r="F107" i="1" s="1"/>
  <c r="F108" i="1" a="1"/>
  <c r="F108" i="1"/>
  <c r="F109" i="1" a="1"/>
  <c r="F109" i="1"/>
  <c r="F110" i="1" a="1"/>
  <c r="F110" i="1" s="1"/>
  <c r="F111" i="1" a="1"/>
  <c r="F111" i="1" s="1"/>
  <c r="F112" i="1" a="1"/>
  <c r="F112" i="1" s="1"/>
  <c r="F113" i="1" a="1"/>
  <c r="F113" i="1" s="1"/>
  <c r="F114" i="1" a="1"/>
  <c r="F114" i="1" s="1"/>
  <c r="F115" i="1" a="1"/>
  <c r="F115" i="1" s="1"/>
  <c r="F116" i="1" a="1"/>
  <c r="F116" i="1" s="1"/>
  <c r="F117" i="1" a="1"/>
  <c r="F117" i="1"/>
  <c r="F118" i="1" a="1"/>
  <c r="F118" i="1"/>
  <c r="F119" i="1" a="1"/>
  <c r="F119" i="1" s="1"/>
  <c r="F120" i="1" a="1"/>
  <c r="F120" i="1" s="1"/>
  <c r="F121" i="1" a="1"/>
  <c r="F121" i="1"/>
  <c r="F122" i="1" a="1"/>
  <c r="F122" i="1" s="1"/>
  <c r="F123" i="1" a="1"/>
  <c r="F123" i="1" s="1"/>
  <c r="F124" i="1" a="1"/>
  <c r="F124" i="1" s="1"/>
  <c r="F125" i="1" a="1"/>
  <c r="F125" i="1" s="1"/>
  <c r="F126" i="1" a="1"/>
  <c r="F126" i="1" s="1"/>
  <c r="F127" i="1" a="1"/>
  <c r="F127" i="1" s="1"/>
  <c r="F128" i="1" a="1"/>
  <c r="F128" i="1" s="1"/>
  <c r="F129" i="1" a="1"/>
  <c r="F129" i="1" s="1"/>
  <c r="F130" i="1" a="1"/>
  <c r="F130" i="1" s="1"/>
  <c r="F131" i="1" a="1"/>
  <c r="F131" i="1" s="1"/>
  <c r="F132" i="1" a="1"/>
  <c r="F132" i="1" s="1"/>
  <c r="F133" i="1" a="1"/>
  <c r="F133" i="1" s="1"/>
  <c r="F134" i="1" a="1"/>
  <c r="F134" i="1" s="1"/>
  <c r="F135" i="1" a="1"/>
  <c r="F135" i="1" s="1"/>
  <c r="F136" i="1" a="1"/>
  <c r="F136" i="1" s="1"/>
  <c r="F137" i="1" a="1"/>
  <c r="F137" i="1"/>
  <c r="F138" i="1" a="1"/>
  <c r="F138" i="1" s="1"/>
  <c r="F139" i="1" a="1"/>
  <c r="F139" i="1" s="1"/>
  <c r="F140" i="1" a="1"/>
  <c r="F140" i="1" s="1"/>
  <c r="F141" i="1" a="1"/>
  <c r="F141" i="1" s="1"/>
  <c r="F142" i="1" a="1"/>
  <c r="F142" i="1" s="1"/>
  <c r="F143" i="1" a="1"/>
  <c r="F143" i="1" s="1"/>
  <c r="F144" i="1" a="1"/>
  <c r="F144" i="1"/>
  <c r="F145" i="1" a="1"/>
  <c r="F145" i="1" s="1"/>
  <c r="F146" i="1" a="1"/>
  <c r="F146" i="1" s="1"/>
  <c r="F147" i="1" a="1"/>
  <c r="F147" i="1"/>
  <c r="F148" i="1" a="1"/>
  <c r="F148" i="1" s="1"/>
  <c r="F149" i="1" a="1"/>
  <c r="F149" i="1" s="1"/>
  <c r="F150" i="1" a="1"/>
  <c r="F150" i="1" s="1"/>
  <c r="F151" i="1" a="1"/>
  <c r="F151" i="1" s="1"/>
  <c r="F152" i="1" a="1"/>
  <c r="F152" i="1" s="1"/>
  <c r="F153" i="1" a="1"/>
  <c r="F153" i="1"/>
  <c r="F154" i="1" a="1"/>
  <c r="F154" i="1" s="1"/>
  <c r="F155" i="1" a="1"/>
  <c r="F155" i="1" s="1"/>
  <c r="F156" i="1" a="1"/>
  <c r="F156" i="1" s="1"/>
  <c r="F157" i="1" a="1"/>
  <c r="F157" i="1" s="1"/>
  <c r="F158" i="1" a="1"/>
  <c r="F158" i="1" s="1"/>
  <c r="F159" i="1" a="1"/>
  <c r="F159" i="1" s="1"/>
  <c r="F160" i="1" a="1"/>
  <c r="F160" i="1" s="1"/>
  <c r="F161" i="1" a="1"/>
  <c r="F161" i="1"/>
  <c r="F162" i="1" a="1"/>
  <c r="F162" i="1" s="1"/>
  <c r="F163" i="1" a="1"/>
  <c r="F163" i="1" s="1"/>
  <c r="F164" i="1" a="1"/>
  <c r="F164" i="1" s="1"/>
  <c r="F165" i="1" a="1"/>
  <c r="F165" i="1" s="1"/>
  <c r="F166" i="1" a="1"/>
  <c r="F166" i="1" s="1"/>
  <c r="F167" i="1" a="1"/>
  <c r="F167" i="1" s="1"/>
  <c r="F168" i="1" a="1"/>
  <c r="F168" i="1" s="1"/>
  <c r="F169" i="1" a="1"/>
  <c r="F169" i="1" s="1"/>
  <c r="F170" i="1" a="1"/>
  <c r="F170" i="1" s="1"/>
  <c r="F171" i="1" a="1"/>
  <c r="F171" i="1"/>
  <c r="F172" i="1" a="1"/>
  <c r="F172" i="1" s="1"/>
  <c r="F173" i="1" a="1"/>
  <c r="F173" i="1" s="1"/>
  <c r="F174" i="1" a="1"/>
  <c r="F174" i="1" s="1"/>
  <c r="F175" i="1" a="1"/>
  <c r="F175" i="1" s="1"/>
  <c r="F176" i="1" a="1"/>
  <c r="F176" i="1" s="1"/>
  <c r="F177" i="1" a="1"/>
  <c r="F177" i="1" s="1"/>
  <c r="F178" i="1" a="1"/>
  <c r="F178" i="1" s="1"/>
  <c r="F179" i="1" a="1"/>
  <c r="F179" i="1"/>
  <c r="F180" i="1" a="1"/>
  <c r="F180" i="1" s="1"/>
  <c r="F181" i="1" a="1"/>
  <c r="F181" i="1" s="1"/>
  <c r="F182" i="1" a="1"/>
  <c r="F182" i="1" s="1"/>
  <c r="F183" i="1" a="1"/>
  <c r="F183" i="1" s="1"/>
  <c r="F184" i="1" a="1"/>
  <c r="F184" i="1" s="1"/>
  <c r="F185" i="1" a="1"/>
  <c r="F185" i="1" s="1"/>
  <c r="F186" i="1" a="1"/>
  <c r="F186" i="1" s="1"/>
  <c r="F187" i="1" a="1"/>
  <c r="F187" i="1" s="1"/>
  <c r="F188" i="1" a="1"/>
  <c r="F188" i="1" s="1"/>
  <c r="F189" i="1" a="1"/>
  <c r="F189" i="1" s="1"/>
  <c r="F190" i="1" a="1"/>
  <c r="F190" i="1" s="1"/>
  <c r="F191" i="1" a="1"/>
  <c r="F191" i="1"/>
  <c r="F192" i="1" a="1"/>
  <c r="F192" i="1"/>
  <c r="F193" i="1" a="1"/>
  <c r="F193" i="1" s="1"/>
  <c r="F194" i="1" a="1"/>
  <c r="F194" i="1" s="1"/>
  <c r="F195" i="1" a="1"/>
  <c r="F195" i="1" s="1"/>
  <c r="F196" i="1" a="1"/>
  <c r="F196" i="1" s="1"/>
  <c r="F197" i="1" a="1"/>
  <c r="F197" i="1" s="1"/>
  <c r="F198" i="1" a="1"/>
  <c r="F198" i="1" s="1"/>
  <c r="F199" i="1" a="1"/>
  <c r="F199" i="1" s="1"/>
  <c r="F200" i="1" a="1"/>
  <c r="F200" i="1" s="1"/>
  <c r="F201" i="1" a="1"/>
  <c r="F201" i="1"/>
  <c r="F202" i="1" a="1"/>
  <c r="F202" i="1"/>
  <c r="F203" i="1" a="1"/>
  <c r="F203" i="1" s="1"/>
  <c r="F204" i="1" a="1"/>
  <c r="F204" i="1" s="1"/>
  <c r="F205" i="1" a="1"/>
  <c r="F205" i="1" s="1"/>
  <c r="F206" i="1" a="1"/>
  <c r="F206" i="1" s="1"/>
  <c r="F207" i="1" a="1"/>
  <c r="F207" i="1" s="1"/>
  <c r="F208" i="1" a="1"/>
  <c r="F208" i="1" s="1"/>
  <c r="F209" i="1" a="1"/>
  <c r="F209" i="1"/>
  <c r="F210" i="1" a="1"/>
  <c r="F210" i="1"/>
  <c r="F211" i="1" a="1"/>
  <c r="F211" i="1" s="1"/>
  <c r="F212" i="1" a="1"/>
  <c r="F212" i="1" s="1"/>
  <c r="F213" i="1" a="1"/>
  <c r="F213" i="1" s="1"/>
  <c r="F214" i="1" a="1"/>
  <c r="F214" i="1" s="1"/>
  <c r="F215" i="1" a="1"/>
  <c r="F215" i="1" s="1"/>
  <c r="F216" i="1" a="1"/>
  <c r="F216" i="1"/>
  <c r="F217" i="1" a="1"/>
  <c r="F217" i="1" s="1"/>
  <c r="F218" i="1" a="1"/>
  <c r="F218" i="1" s="1"/>
  <c r="F219" i="1" a="1"/>
  <c r="F219" i="1" s="1"/>
  <c r="F220" i="1" a="1"/>
  <c r="F220" i="1" s="1"/>
  <c r="F221" i="1" a="1"/>
  <c r="F221" i="1" s="1"/>
  <c r="F222" i="1" a="1"/>
  <c r="F222" i="1" s="1"/>
  <c r="F223" i="1" a="1"/>
  <c r="F223" i="1" s="1"/>
  <c r="F224" i="1" a="1"/>
  <c r="F224" i="1" s="1"/>
  <c r="F225" i="1" a="1"/>
  <c r="F225" i="1" s="1"/>
  <c r="F226" i="1" a="1"/>
  <c r="F226" i="1" s="1"/>
  <c r="F227" i="1" a="1"/>
  <c r="F227" i="1"/>
  <c r="F228" i="1" a="1"/>
  <c r="F228" i="1" s="1"/>
  <c r="F229" i="1" a="1"/>
  <c r="F229" i="1" s="1"/>
  <c r="F230" i="1" a="1"/>
  <c r="F230" i="1" s="1"/>
  <c r="F231" i="1" a="1"/>
  <c r="F231" i="1" s="1"/>
  <c r="F232" i="1" a="1"/>
  <c r="F232" i="1" s="1"/>
  <c r="F233" i="1" a="1"/>
  <c r="F233" i="1" s="1"/>
  <c r="F234" i="1" a="1"/>
  <c r="F234" i="1" s="1"/>
  <c r="F235" i="1" a="1"/>
  <c r="F235" i="1" s="1"/>
  <c r="F236" i="1" a="1"/>
  <c r="F236" i="1" s="1"/>
  <c r="F237" i="1" a="1"/>
  <c r="F237" i="1"/>
  <c r="F238" i="1" a="1"/>
  <c r="F238" i="1" s="1"/>
  <c r="F239" i="1" a="1"/>
  <c r="F239" i="1"/>
  <c r="F240" i="1" a="1"/>
  <c r="F240" i="1" s="1"/>
  <c r="F241" i="1" a="1"/>
  <c r="F241" i="1" s="1"/>
  <c r="F242" i="1" a="1"/>
  <c r="F242" i="1" s="1"/>
  <c r="F243" i="1" a="1"/>
  <c r="F243" i="1" s="1"/>
  <c r="F244" i="1" a="1"/>
  <c r="F244" i="1" s="1"/>
  <c r="F245" i="1" a="1"/>
  <c r="F245" i="1" s="1"/>
  <c r="F246" i="1" a="1"/>
  <c r="F246" i="1"/>
  <c r="F247" i="1" a="1"/>
  <c r="F247" i="1" s="1"/>
  <c r="F248" i="1" a="1"/>
  <c r="F248" i="1" s="1"/>
  <c r="F249" i="1" a="1"/>
  <c r="F249" i="1" s="1"/>
  <c r="F250" i="1" a="1"/>
  <c r="F250" i="1" s="1"/>
  <c r="F251" i="1" a="1"/>
  <c r="F251" i="1"/>
  <c r="F252" i="1" a="1"/>
  <c r="F252" i="1" s="1"/>
  <c r="F253" i="1" a="1"/>
  <c r="F253" i="1" s="1"/>
  <c r="F254" i="1" a="1"/>
  <c r="F254" i="1" s="1"/>
  <c r="F255" i="1" a="1"/>
  <c r="F255" i="1" s="1"/>
  <c r="F256" i="1" a="1"/>
  <c r="F256" i="1"/>
  <c r="F257" i="1" a="1"/>
  <c r="F257" i="1" s="1"/>
  <c r="F258" i="1" a="1"/>
  <c r="F258" i="1" s="1"/>
  <c r="F259" i="1" a="1"/>
  <c r="F259" i="1" s="1"/>
  <c r="F260" i="1" a="1"/>
  <c r="F260" i="1" s="1"/>
  <c r="F261" i="1" a="1"/>
  <c r="F261" i="1" s="1"/>
  <c r="F262" i="1" a="1"/>
  <c r="F262" i="1" s="1"/>
  <c r="F263" i="1" a="1"/>
  <c r="F263" i="1" s="1"/>
  <c r="F264" i="1" a="1"/>
  <c r="F264" i="1" s="1"/>
  <c r="F265" i="1" a="1"/>
  <c r="F265" i="1"/>
  <c r="F266" i="1" a="1"/>
  <c r="F266" i="1" s="1"/>
  <c r="F267" i="1" a="1"/>
  <c r="F267" i="1" s="1"/>
  <c r="F268" i="1" a="1"/>
  <c r="F268" i="1" s="1"/>
  <c r="F269" i="1" a="1"/>
  <c r="F269" i="1" s="1"/>
  <c r="F270" i="1" a="1"/>
  <c r="F270" i="1" s="1"/>
  <c r="F271" i="1" a="1"/>
  <c r="F271" i="1" s="1"/>
  <c r="F272" i="1" a="1"/>
  <c r="F272" i="1" s="1"/>
  <c r="F273" i="1" a="1"/>
  <c r="F273" i="1"/>
  <c r="F274" i="1" a="1"/>
  <c r="F274" i="1"/>
  <c r="F275" i="1" a="1"/>
  <c r="F275" i="1" s="1"/>
  <c r="F276" i="1" a="1"/>
  <c r="F276" i="1" s="1"/>
  <c r="F277" i="1" a="1"/>
  <c r="F277" i="1" s="1"/>
  <c r="F278" i="1" a="1"/>
  <c r="F278" i="1" s="1"/>
  <c r="F279" i="1" a="1"/>
  <c r="F279" i="1" s="1"/>
  <c r="F280" i="1" a="1"/>
  <c r="F280" i="1" s="1"/>
  <c r="F281" i="1" a="1"/>
  <c r="F281" i="1" s="1"/>
  <c r="F282" i="1" a="1"/>
  <c r="F282" i="1" s="1"/>
  <c r="F283" i="1" a="1"/>
  <c r="F283" i="1" s="1"/>
  <c r="F284" i="1" a="1"/>
  <c r="F284" i="1" s="1"/>
  <c r="F285" i="1" a="1"/>
  <c r="F285" i="1" s="1"/>
  <c r="F286" i="1" a="1"/>
  <c r="F286" i="1" s="1"/>
  <c r="F287" i="1" a="1"/>
  <c r="F287" i="1" s="1"/>
  <c r="F288" i="1" a="1"/>
  <c r="F288" i="1"/>
  <c r="F289" i="1" a="1"/>
  <c r="F289" i="1" s="1"/>
  <c r="F290" i="1" a="1"/>
  <c r="F290" i="1" s="1"/>
  <c r="F291" i="1" a="1"/>
  <c r="F291" i="1" s="1"/>
  <c r="F292" i="1" a="1"/>
  <c r="F292" i="1"/>
  <c r="F293" i="1" a="1"/>
  <c r="F293" i="1" s="1"/>
  <c r="F294" i="1" a="1"/>
  <c r="F294" i="1" s="1"/>
  <c r="F295" i="1" a="1"/>
  <c r="F295" i="1" s="1"/>
  <c r="F296" i="1" a="1"/>
  <c r="F296" i="1" s="1"/>
  <c r="F297" i="1" a="1"/>
  <c r="F297" i="1"/>
  <c r="F298" i="1" a="1"/>
  <c r="F298" i="1" s="1"/>
  <c r="F299" i="1" a="1"/>
  <c r="F299" i="1" s="1"/>
  <c r="F300" i="1" a="1"/>
  <c r="F300" i="1" s="1"/>
  <c r="F301" i="1" a="1"/>
  <c r="F301"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<sst xmlns="http://schemas.openxmlformats.org/spreadsheetml/2006/main" count="3098" uniqueCount="699">
  <si>
    <t>index</t>
  </si>
  <si>
    <t>order id</t>
  </si>
  <si>
    <t>customer id</t>
  </si>
  <si>
    <t>gender</t>
  </si>
  <si>
    <t>age</t>
  </si>
  <si>
    <t>date</t>
  </si>
  <si>
    <t>channel</t>
  </si>
  <si>
    <t>size</t>
  </si>
  <si>
    <t>quantity</t>
  </si>
  <si>
    <t>currency</t>
  </si>
  <si>
    <t>amount</t>
  </si>
  <si>
    <t>shipping city</t>
  </si>
  <si>
    <t>month</t>
  </si>
  <si>
    <t>age group</t>
  </si>
  <si>
    <t>status</t>
  </si>
  <si>
    <t>male</t>
  </si>
  <si>
    <t>female</t>
  </si>
  <si>
    <t>INR</t>
  </si>
  <si>
    <t>Indore</t>
  </si>
  <si>
    <t>Ujjain</t>
  </si>
  <si>
    <t>Ajmer</t>
  </si>
  <si>
    <t>Jaipur</t>
  </si>
  <si>
    <t>Delhi</t>
  </si>
  <si>
    <t>Mumbai</t>
  </si>
  <si>
    <t>surat</t>
  </si>
  <si>
    <t>bhopal</t>
  </si>
  <si>
    <t>nagpur</t>
  </si>
  <si>
    <t>pune</t>
  </si>
  <si>
    <t>ahmedabad</t>
  </si>
  <si>
    <t>dewas</t>
  </si>
  <si>
    <t>shimla</t>
  </si>
  <si>
    <t>amritsar</t>
  </si>
  <si>
    <t>chandigarh</t>
  </si>
  <si>
    <t>delhi</t>
  </si>
  <si>
    <t>Myntra</t>
  </si>
  <si>
    <t>Ajio</t>
  </si>
  <si>
    <t>Meesho</t>
  </si>
  <si>
    <t>Nykaa fashion</t>
  </si>
  <si>
    <t>Amazon</t>
  </si>
  <si>
    <t>others</t>
  </si>
  <si>
    <t>XXL</t>
  </si>
  <si>
    <t>M</t>
  </si>
  <si>
    <t>L</t>
  </si>
  <si>
    <t>S</t>
  </si>
  <si>
    <t>XS</t>
  </si>
  <si>
    <t>XL</t>
  </si>
  <si>
    <t>3XL</t>
  </si>
  <si>
    <t>4XL</t>
  </si>
  <si>
    <t>Cliq</t>
  </si>
  <si>
    <t>Snapdeal</t>
  </si>
  <si>
    <t>Flipkart</t>
  </si>
  <si>
    <t>ajmer</t>
  </si>
  <si>
    <t>gwalior</t>
  </si>
  <si>
    <t>category</t>
  </si>
  <si>
    <t>T-shirts</t>
  </si>
  <si>
    <t>Blouse</t>
  </si>
  <si>
    <t>Tank top</t>
  </si>
  <si>
    <t>polo shirt</t>
  </si>
  <si>
    <t>shirts</t>
  </si>
  <si>
    <t>jeans</t>
  </si>
  <si>
    <t>joggers</t>
  </si>
  <si>
    <t>trousers</t>
  </si>
  <si>
    <t>shorts</t>
  </si>
  <si>
    <t>leggings</t>
  </si>
  <si>
    <t>saree</t>
  </si>
  <si>
    <t>crop top</t>
  </si>
  <si>
    <t>kurti</t>
  </si>
  <si>
    <t>gown</t>
  </si>
  <si>
    <t>camisoles</t>
  </si>
  <si>
    <t>blouse</t>
  </si>
  <si>
    <t>ORD23458710</t>
  </si>
  <si>
    <t>ORD23458711</t>
  </si>
  <si>
    <t>ORD23458712</t>
  </si>
  <si>
    <t>ORD23458713</t>
  </si>
  <si>
    <t>ORD23458714</t>
  </si>
  <si>
    <t>ORD23458715</t>
  </si>
  <si>
    <t>ORD23458716</t>
  </si>
  <si>
    <t>ORD23458717</t>
  </si>
  <si>
    <t>ORD23458718</t>
  </si>
  <si>
    <t>ORD23458719</t>
  </si>
  <si>
    <t>ORD23458720</t>
  </si>
  <si>
    <t>ORD23458721</t>
  </si>
  <si>
    <t>ORD23458722</t>
  </si>
  <si>
    <t>ORD23458723</t>
  </si>
  <si>
    <t>ORD23458724</t>
  </si>
  <si>
    <t>ORD23458725</t>
  </si>
  <si>
    <t>ORD23458726</t>
  </si>
  <si>
    <t>ORD23458727</t>
  </si>
  <si>
    <t>ORD23458728</t>
  </si>
  <si>
    <t>ORD23458729</t>
  </si>
  <si>
    <t>ORD23458730</t>
  </si>
  <si>
    <t>ORD23458731</t>
  </si>
  <si>
    <t>ORD23458732</t>
  </si>
  <si>
    <t>ORD23458733</t>
  </si>
  <si>
    <t>ORD23458734</t>
  </si>
  <si>
    <t>ORD23458735</t>
  </si>
  <si>
    <t>ORD23458736</t>
  </si>
  <si>
    <t>ORD23458737</t>
  </si>
  <si>
    <t>ORD23458738</t>
  </si>
  <si>
    <t>ORD23458739</t>
  </si>
  <si>
    <t>ORD23458740</t>
  </si>
  <si>
    <t>ORD23458741</t>
  </si>
  <si>
    <t>ORD23458742</t>
  </si>
  <si>
    <t>ORD23458743</t>
  </si>
  <si>
    <t>ORD23458744</t>
  </si>
  <si>
    <t>ORD23458745</t>
  </si>
  <si>
    <t>ORD23458746</t>
  </si>
  <si>
    <t>ORD23458747</t>
  </si>
  <si>
    <t>ORD23458748</t>
  </si>
  <si>
    <t>ORD23458749</t>
  </si>
  <si>
    <t>ORD23458750</t>
  </si>
  <si>
    <t>ORD23458751</t>
  </si>
  <si>
    <t>ORD23458752</t>
  </si>
  <si>
    <t>ORD23458753</t>
  </si>
  <si>
    <t>ORD23458754</t>
  </si>
  <si>
    <t>ORD23458755</t>
  </si>
  <si>
    <t>ORD23458756</t>
  </si>
  <si>
    <t>ORD23458757</t>
  </si>
  <si>
    <t>ORD23458758</t>
  </si>
  <si>
    <t>ORD23458759</t>
  </si>
  <si>
    <t>ORD23458760</t>
  </si>
  <si>
    <t>ORD23458761</t>
  </si>
  <si>
    <t>ORD23458762</t>
  </si>
  <si>
    <t>ORD23458763</t>
  </si>
  <si>
    <t>ORD23458764</t>
  </si>
  <si>
    <t>ORD23458765</t>
  </si>
  <si>
    <t>ORD23458766</t>
  </si>
  <si>
    <t>ORD23458767</t>
  </si>
  <si>
    <t>ORD23458768</t>
  </si>
  <si>
    <t>ORD23458769</t>
  </si>
  <si>
    <t>ORD23458770</t>
  </si>
  <si>
    <t>ORD23458771</t>
  </si>
  <si>
    <t>ORD23458772</t>
  </si>
  <si>
    <t>ORD23458773</t>
  </si>
  <si>
    <t>ORD23458774</t>
  </si>
  <si>
    <t>ORD23458775</t>
  </si>
  <si>
    <t>ORD23458776</t>
  </si>
  <si>
    <t>ORD23458777</t>
  </si>
  <si>
    <t>ORD23458778</t>
  </si>
  <si>
    <t>ORD23458779</t>
  </si>
  <si>
    <t>ORD23458780</t>
  </si>
  <si>
    <t>ORD23458781</t>
  </si>
  <si>
    <t>ORD23458782</t>
  </si>
  <si>
    <t>ORD23458783</t>
  </si>
  <si>
    <t>ORD23458784</t>
  </si>
  <si>
    <t>ORD23458785</t>
  </si>
  <si>
    <t>ORD23458786</t>
  </si>
  <si>
    <t>ORD23458787</t>
  </si>
  <si>
    <t>ORD23458788</t>
  </si>
  <si>
    <t>ORD23458789</t>
  </si>
  <si>
    <t>ORD23458790</t>
  </si>
  <si>
    <t>ORD23458791</t>
  </si>
  <si>
    <t>ORD23458792</t>
  </si>
  <si>
    <t>ORD23458793</t>
  </si>
  <si>
    <t>ORD23458794</t>
  </si>
  <si>
    <t>ORD23458795</t>
  </si>
  <si>
    <t>ORD23458796</t>
  </si>
  <si>
    <t>ORD23458797</t>
  </si>
  <si>
    <t>ORD23458798</t>
  </si>
  <si>
    <t>ORD23458799</t>
  </si>
  <si>
    <t>ORD23458800</t>
  </si>
  <si>
    <t>ORD23458801</t>
  </si>
  <si>
    <t>ORD23458802</t>
  </si>
  <si>
    <t>ORD23458803</t>
  </si>
  <si>
    <t>ORD23458804</t>
  </si>
  <si>
    <t>ORD23458805</t>
  </si>
  <si>
    <t>ORD23458806</t>
  </si>
  <si>
    <t>ORD23458807</t>
  </si>
  <si>
    <t>ORD23458808</t>
  </si>
  <si>
    <t>ORD23458809</t>
  </si>
  <si>
    <t>ORD23458810</t>
  </si>
  <si>
    <t>ORD23458811</t>
  </si>
  <si>
    <t>ORD23458812</t>
  </si>
  <si>
    <t>ORD23458813</t>
  </si>
  <si>
    <t>ORD23458814</t>
  </si>
  <si>
    <t>ORD23458815</t>
  </si>
  <si>
    <t>ORD23458816</t>
  </si>
  <si>
    <t>ORD23458817</t>
  </si>
  <si>
    <t>ORD23458818</t>
  </si>
  <si>
    <t>ORD23458819</t>
  </si>
  <si>
    <t>ORD23458820</t>
  </si>
  <si>
    <t>ORD23458821</t>
  </si>
  <si>
    <t>ORD23458822</t>
  </si>
  <si>
    <t>ORD23458823</t>
  </si>
  <si>
    <t>ORD23458824</t>
  </si>
  <si>
    <t>ORD23458825</t>
  </si>
  <si>
    <t>ORD23458826</t>
  </si>
  <si>
    <t>ORD23458827</t>
  </si>
  <si>
    <t>ORD23458828</t>
  </si>
  <si>
    <t>ORD23458829</t>
  </si>
  <si>
    <t>ORD23458830</t>
  </si>
  <si>
    <t>ORD23458831</t>
  </si>
  <si>
    <t>ORD23458832</t>
  </si>
  <si>
    <t>ORD23458833</t>
  </si>
  <si>
    <t>ORD23458834</t>
  </si>
  <si>
    <t>ORD23458835</t>
  </si>
  <si>
    <t>ORD23458836</t>
  </si>
  <si>
    <t>ORD23458837</t>
  </si>
  <si>
    <t>ORD23458838</t>
  </si>
  <si>
    <t>ORD23458839</t>
  </si>
  <si>
    <t>ORD23458840</t>
  </si>
  <si>
    <t>ORD23458841</t>
  </si>
  <si>
    <t>ORD23458842</t>
  </si>
  <si>
    <t>ORD23458843</t>
  </si>
  <si>
    <t>ORD23458844</t>
  </si>
  <si>
    <t>ORD23458845</t>
  </si>
  <si>
    <t>ORD23458846</t>
  </si>
  <si>
    <t>ORD23458847</t>
  </si>
  <si>
    <t>ORD23458848</t>
  </si>
  <si>
    <t>ORD23458849</t>
  </si>
  <si>
    <t>ORD23458850</t>
  </si>
  <si>
    <t>ORD23458851</t>
  </si>
  <si>
    <t>ORD23458852</t>
  </si>
  <si>
    <t>ORD23458853</t>
  </si>
  <si>
    <t>ORD23458854</t>
  </si>
  <si>
    <t>ORD23458855</t>
  </si>
  <si>
    <t>ORD23458856</t>
  </si>
  <si>
    <t>ORD23458857</t>
  </si>
  <si>
    <t>ORD23458858</t>
  </si>
  <si>
    <t>ORD23458859</t>
  </si>
  <si>
    <t>ORD23458860</t>
  </si>
  <si>
    <t>ORD23458861</t>
  </si>
  <si>
    <t>ORD23458862</t>
  </si>
  <si>
    <t>ORD23458863</t>
  </si>
  <si>
    <t>ORD23458864</t>
  </si>
  <si>
    <t>ORD23458865</t>
  </si>
  <si>
    <t>ORD23458866</t>
  </si>
  <si>
    <t>ORD23458867</t>
  </si>
  <si>
    <t>ORD23458868</t>
  </si>
  <si>
    <t>ORD23458869</t>
  </si>
  <si>
    <t>ORD23458870</t>
  </si>
  <si>
    <t>ORD23458871</t>
  </si>
  <si>
    <t>ORD23458872</t>
  </si>
  <si>
    <t>ORD23458873</t>
  </si>
  <si>
    <t>ORD23458874</t>
  </si>
  <si>
    <t>ORD23458875</t>
  </si>
  <si>
    <t>ORD23458876</t>
  </si>
  <si>
    <t>ORD23458877</t>
  </si>
  <si>
    <t>ORD23458878</t>
  </si>
  <si>
    <t>ORD23458879</t>
  </si>
  <si>
    <t>ORD23458880</t>
  </si>
  <si>
    <t>ORD23458881</t>
  </si>
  <si>
    <t>ORD23458882</t>
  </si>
  <si>
    <t>ORD23458883</t>
  </si>
  <si>
    <t>ORD23458884</t>
  </si>
  <si>
    <t>ORD23458885</t>
  </si>
  <si>
    <t>ORD23458886</t>
  </si>
  <si>
    <t>ORD23458887</t>
  </si>
  <si>
    <t>ORD23458888</t>
  </si>
  <si>
    <t>ORD23458889</t>
  </si>
  <si>
    <t>ORD23458890</t>
  </si>
  <si>
    <t>ORD23458891</t>
  </si>
  <si>
    <t>ORD23458892</t>
  </si>
  <si>
    <t>ORD23458893</t>
  </si>
  <si>
    <t>ORD23458894</t>
  </si>
  <si>
    <t>ORD23458895</t>
  </si>
  <si>
    <t>ORD23458896</t>
  </si>
  <si>
    <t>ORD23458897</t>
  </si>
  <si>
    <t>ORD23458898</t>
  </si>
  <si>
    <t>ORD23458899</t>
  </si>
  <si>
    <t>ORD23458900</t>
  </si>
  <si>
    <t>ORD23458901</t>
  </si>
  <si>
    <t>ORD23458902</t>
  </si>
  <si>
    <t>ORD23458903</t>
  </si>
  <si>
    <t>ORD23458904</t>
  </si>
  <si>
    <t>ORD23458905</t>
  </si>
  <si>
    <t>ORD23458906</t>
  </si>
  <si>
    <t>ORD23458907</t>
  </si>
  <si>
    <t>ORD23458908</t>
  </si>
  <si>
    <t>ORD23458909</t>
  </si>
  <si>
    <t>ORD23458910</t>
  </si>
  <si>
    <t>ORD23458911</t>
  </si>
  <si>
    <t>ORD23458912</t>
  </si>
  <si>
    <t>ORD23458913</t>
  </si>
  <si>
    <t>ORD23458914</t>
  </si>
  <si>
    <t>ORD23458915</t>
  </si>
  <si>
    <t>ORD23458916</t>
  </si>
  <si>
    <t>ORD23458917</t>
  </si>
  <si>
    <t>ORD23458918</t>
  </si>
  <si>
    <t>ORD23458919</t>
  </si>
  <si>
    <t>ORD23458920</t>
  </si>
  <si>
    <t>ORD23458921</t>
  </si>
  <si>
    <t>ORD23458922</t>
  </si>
  <si>
    <t>ORD23458923</t>
  </si>
  <si>
    <t>ORD23458924</t>
  </si>
  <si>
    <t>ORD23458925</t>
  </si>
  <si>
    <t>ORD23458926</t>
  </si>
  <si>
    <t>ORD23458927</t>
  </si>
  <si>
    <t>ORD23458928</t>
  </si>
  <si>
    <t>ORD23458929</t>
  </si>
  <si>
    <t>ORD23458930</t>
  </si>
  <si>
    <t>ORD23458931</t>
  </si>
  <si>
    <t>ORD23458932</t>
  </si>
  <si>
    <t>ORD23458933</t>
  </si>
  <si>
    <t>ORD23458934</t>
  </si>
  <si>
    <t>ORD23458935</t>
  </si>
  <si>
    <t>ORD23458936</t>
  </si>
  <si>
    <t>ORD23458937</t>
  </si>
  <si>
    <t>ORD23458938</t>
  </si>
  <si>
    <t>ORD23458939</t>
  </si>
  <si>
    <t>ORD23458940</t>
  </si>
  <si>
    <t>ORD23458941</t>
  </si>
  <si>
    <t>ORD23458942</t>
  </si>
  <si>
    <t>ORD23458943</t>
  </si>
  <si>
    <t>ORD23458944</t>
  </si>
  <si>
    <t>ORD23458945</t>
  </si>
  <si>
    <t>ORD23458946</t>
  </si>
  <si>
    <t>ORD23458947</t>
  </si>
  <si>
    <t>ORD23458948</t>
  </si>
  <si>
    <t>ORD23458949</t>
  </si>
  <si>
    <t>ORD23458950</t>
  </si>
  <si>
    <t>ORD23458951</t>
  </si>
  <si>
    <t>ORD23458952</t>
  </si>
  <si>
    <t>ORD23458953</t>
  </si>
  <si>
    <t>ORD23458954</t>
  </si>
  <si>
    <t>ORD23458955</t>
  </si>
  <si>
    <t>ORD23458956</t>
  </si>
  <si>
    <t>ORD23458957</t>
  </si>
  <si>
    <t>ORD23458958</t>
  </si>
  <si>
    <t>ORD23458959</t>
  </si>
  <si>
    <t>ORD23458960</t>
  </si>
  <si>
    <t>ORD23458961</t>
  </si>
  <si>
    <t>ORD23458962</t>
  </si>
  <si>
    <t>ORD23458963</t>
  </si>
  <si>
    <t>ORD23458964</t>
  </si>
  <si>
    <t>ORD23458965</t>
  </si>
  <si>
    <t>ORD23458966</t>
  </si>
  <si>
    <t>ORD23458967</t>
  </si>
  <si>
    <t>ORD23458968</t>
  </si>
  <si>
    <t>ORD23458969</t>
  </si>
  <si>
    <t>ORD23458970</t>
  </si>
  <si>
    <t>ORD23458971</t>
  </si>
  <si>
    <t>ORD23458972</t>
  </si>
  <si>
    <t>ORD23458973</t>
  </si>
  <si>
    <t>ORD23458974</t>
  </si>
  <si>
    <t>ORD23458975</t>
  </si>
  <si>
    <t>ORD23458976</t>
  </si>
  <si>
    <t>ORD23458977</t>
  </si>
  <si>
    <t>ORD23458978</t>
  </si>
  <si>
    <t>ORD23458979</t>
  </si>
  <si>
    <t>ORD23458980</t>
  </si>
  <si>
    <t>ORD23458981</t>
  </si>
  <si>
    <t>ORD23458982</t>
  </si>
  <si>
    <t>ORD23458983</t>
  </si>
  <si>
    <t>ORD23458984</t>
  </si>
  <si>
    <t>ORD23458985</t>
  </si>
  <si>
    <t>ORD23458986</t>
  </si>
  <si>
    <t>ORD23458987</t>
  </si>
  <si>
    <t>ORD23458988</t>
  </si>
  <si>
    <t>ORD23458989</t>
  </si>
  <si>
    <t>ORD23458990</t>
  </si>
  <si>
    <t>ORD23458991</t>
  </si>
  <si>
    <t>ORD23458992</t>
  </si>
  <si>
    <t>ORD23458993</t>
  </si>
  <si>
    <t>ORD23458994</t>
  </si>
  <si>
    <t>ORD23458995</t>
  </si>
  <si>
    <t>ORD23458996</t>
  </si>
  <si>
    <t>ORD23458997</t>
  </si>
  <si>
    <t>ORD23458998</t>
  </si>
  <si>
    <t>ORD23458999</t>
  </si>
  <si>
    <t>ORD23459000</t>
  </si>
  <si>
    <t>ORD23459001</t>
  </si>
  <si>
    <t>ORD23459002</t>
  </si>
  <si>
    <t>ORD23459003</t>
  </si>
  <si>
    <t>ORD23459004</t>
  </si>
  <si>
    <t>ORD23459005</t>
  </si>
  <si>
    <t>ORD23459006</t>
  </si>
  <si>
    <t>ORD23459007</t>
  </si>
  <si>
    <t>ORD23459008</t>
  </si>
  <si>
    <t>ORD23459009</t>
  </si>
  <si>
    <t>SKU's</t>
  </si>
  <si>
    <t>JUK234-KL-212</t>
  </si>
  <si>
    <t>JUK234-KL-282</t>
  </si>
  <si>
    <t>JUK234-KL-2182</t>
  </si>
  <si>
    <t>JUK234-KL-213</t>
  </si>
  <si>
    <t>JUK234-KL-214</t>
  </si>
  <si>
    <t>JUK234-KL-215</t>
  </si>
  <si>
    <t>JUK234-KL-216</t>
  </si>
  <si>
    <t>JUK234-KL-217</t>
  </si>
  <si>
    <t>JUK234-KL-218</t>
  </si>
  <si>
    <t>SET674-TL-233</t>
  </si>
  <si>
    <t>SET674-TL-245</t>
  </si>
  <si>
    <t>SET674-TL-257</t>
  </si>
  <si>
    <t>SET674-TL-269</t>
  </si>
  <si>
    <t>SET674-TL-281</t>
  </si>
  <si>
    <t>SET674-TL-293</t>
  </si>
  <si>
    <t>SET674-TL-305</t>
  </si>
  <si>
    <t>SET674-TL-317</t>
  </si>
  <si>
    <t>JUK234-KL-225</t>
  </si>
  <si>
    <t>JUK234-KL-244</t>
  </si>
  <si>
    <t>JUK234-KL-263</t>
  </si>
  <si>
    <t>JUK234-KL-301</t>
  </si>
  <si>
    <t>JUK234-KL-320</t>
  </si>
  <si>
    <t>JUK234-KL-339</t>
  </si>
  <si>
    <t>JUK234-KL-358</t>
  </si>
  <si>
    <t>JUK234-KL-377</t>
  </si>
  <si>
    <t>JUK234-KL-396</t>
  </si>
  <si>
    <t>JUK234-KL-415</t>
  </si>
  <si>
    <t>JUK234-KL-434</t>
  </si>
  <si>
    <t>JUK234-KL-453</t>
  </si>
  <si>
    <t>JUK234-KL-472</t>
  </si>
  <si>
    <t>JUK234-KL-491</t>
  </si>
  <si>
    <t>JUK234-KL-510</t>
  </si>
  <si>
    <t>JUK234-KL-529</t>
  </si>
  <si>
    <t>JUK234-KL-548</t>
  </si>
  <si>
    <t>JUK234-KL-567</t>
  </si>
  <si>
    <t>JUK234-KL-586</t>
  </si>
  <si>
    <t>JUK234-KL-605</t>
  </si>
  <si>
    <t>JUK234-KL-624</t>
  </si>
  <si>
    <t>JUK234-KL-643</t>
  </si>
  <si>
    <t>JUK234-KL-662</t>
  </si>
  <si>
    <t>JUK234-KL-681</t>
  </si>
  <si>
    <t>JUK234-KL-700</t>
  </si>
  <si>
    <t>JUK234-KL-719</t>
  </si>
  <si>
    <t>JUK234-KL-738</t>
  </si>
  <si>
    <t>JUK234-KL-757</t>
  </si>
  <si>
    <t>JUK234-KL-776</t>
  </si>
  <si>
    <t>JUK234-KL-795</t>
  </si>
  <si>
    <t>JUK234-KL-814</t>
  </si>
  <si>
    <t>JUK234-KL-833</t>
  </si>
  <si>
    <t>JUK234-KL-852</t>
  </si>
  <si>
    <t>JUK234-KL-871</t>
  </si>
  <si>
    <t>JUK234-KL-890</t>
  </si>
  <si>
    <t>JUK234-KL-909</t>
  </si>
  <si>
    <t>JUK234-KL-928</t>
  </si>
  <si>
    <t>JUK234-KL-947</t>
  </si>
  <si>
    <t>JUK234-KL-966</t>
  </si>
  <si>
    <t>JUK234-KL-985</t>
  </si>
  <si>
    <t>JUK234-KL-1004</t>
  </si>
  <si>
    <t>JUK234-KL-1023</t>
  </si>
  <si>
    <t>JUK234-KL-1042</t>
  </si>
  <si>
    <t>JUK234-KL-1061</t>
  </si>
  <si>
    <t>JUK234-KL-1080</t>
  </si>
  <si>
    <t>JUK234-KL-1099</t>
  </si>
  <si>
    <t>JUK234-KL-1118</t>
  </si>
  <si>
    <t>JUK234-KL-1137</t>
  </si>
  <si>
    <t>JUK234-KL-1156</t>
  </si>
  <si>
    <t>JUK234-KL-1175</t>
  </si>
  <si>
    <t>JUK234-KL-1194</t>
  </si>
  <si>
    <t>JUK234-KL-1213</t>
  </si>
  <si>
    <t>JUK234-KL-1232</t>
  </si>
  <si>
    <t>JUK234-KL-1251</t>
  </si>
  <si>
    <t>JUK234-KL-1270</t>
  </si>
  <si>
    <t>JUK234-KL-1289</t>
  </si>
  <si>
    <t>JUK234-KL-1308</t>
  </si>
  <si>
    <t>JUK234-KL-1327</t>
  </si>
  <si>
    <t>JUK234-KL-1346</t>
  </si>
  <si>
    <t>JUK234-KL-1365</t>
  </si>
  <si>
    <t>JUK234-KL-1384</t>
  </si>
  <si>
    <t>JUK234-KL-1403</t>
  </si>
  <si>
    <t>JUK234-KL-1422</t>
  </si>
  <si>
    <t>JUK234-KL-1441</t>
  </si>
  <si>
    <t>JUK234-KL-1460</t>
  </si>
  <si>
    <t>JUK234-KL-1479</t>
  </si>
  <si>
    <t>JUK234-KL-1498</t>
  </si>
  <si>
    <t>JUK234-KL-1517</t>
  </si>
  <si>
    <t>JUK234-KL-1536</t>
  </si>
  <si>
    <t>JUK234-KL-1555</t>
  </si>
  <si>
    <t>JUK234-KL-1574</t>
  </si>
  <si>
    <t>JUK234-KL-1593</t>
  </si>
  <si>
    <t>JUK234-KL-1612</t>
  </si>
  <si>
    <t>JUK234-KL-1631</t>
  </si>
  <si>
    <t>JUK234-KL-1650</t>
  </si>
  <si>
    <t>JUK234-KL-1669</t>
  </si>
  <si>
    <t>JUK234-KL-1688</t>
  </si>
  <si>
    <t>JUK234-KL-1707</t>
  </si>
  <si>
    <t>JUK234-KL-1726</t>
  </si>
  <si>
    <t>JUK234-KL-1745</t>
  </si>
  <si>
    <t>JUK234-KL-1764</t>
  </si>
  <si>
    <t>JUK234-KL-1783</t>
  </si>
  <si>
    <t>JUK234-KL-1802</t>
  </si>
  <si>
    <t>JUK234-KL-1821</t>
  </si>
  <si>
    <t>JUK234-KL-1840</t>
  </si>
  <si>
    <t>JUK234-KL-1859</t>
  </si>
  <si>
    <t>JUK234-KL-1878</t>
  </si>
  <si>
    <t>JUK234-KL-1897</t>
  </si>
  <si>
    <t>JUK234-KL-1916</t>
  </si>
  <si>
    <t>JUK234-KL-1935</t>
  </si>
  <si>
    <t>JUK234-KL-1954</t>
  </si>
  <si>
    <t>JUK234-KL-1973</t>
  </si>
  <si>
    <t>JUK234-KL-1992</t>
  </si>
  <si>
    <t>JUK234-KL-2011</t>
  </si>
  <si>
    <t>JUK234-KL-2030</t>
  </si>
  <si>
    <t>JUK234-KL-2049</t>
  </si>
  <si>
    <t>JUK234-KL-2068</t>
  </si>
  <si>
    <t>JUK234-KL-2087</t>
  </si>
  <si>
    <t>JUK234-KL-2106</t>
  </si>
  <si>
    <t>JUK234-KL-2125</t>
  </si>
  <si>
    <t>JUK234-KL-2144</t>
  </si>
  <si>
    <t>JUK234-KL-2163</t>
  </si>
  <si>
    <t>JUK234-KL-2201</t>
  </si>
  <si>
    <t>JUK234-KL-2220</t>
  </si>
  <si>
    <t>JUK234-KL-2239</t>
  </si>
  <si>
    <t>JUK234-KL-2258</t>
  </si>
  <si>
    <t>JUK234-KL-2277</t>
  </si>
  <si>
    <t>JUK234-KL-2296</t>
  </si>
  <si>
    <t>JUK234-KL-2315</t>
  </si>
  <si>
    <t>JUK234-KL-2334</t>
  </si>
  <si>
    <t>JUK234-KL-2353</t>
  </si>
  <si>
    <t>SET674-TL-456</t>
  </si>
  <si>
    <t>SET674-TL-488</t>
  </si>
  <si>
    <t>SET674-TL-520</t>
  </si>
  <si>
    <t>SET674-TL-552</t>
  </si>
  <si>
    <t>SET674-TL-584</t>
  </si>
  <si>
    <t>SET674-TL-616</t>
  </si>
  <si>
    <t>SET674-TL-648</t>
  </si>
  <si>
    <t>SET674-TL-680</t>
  </si>
  <si>
    <t>SET674-TL-712</t>
  </si>
  <si>
    <t>SET674-TL-744</t>
  </si>
  <si>
    <t>SET674-TL-776</t>
  </si>
  <si>
    <t>SET674-TL-808</t>
  </si>
  <si>
    <t>SET674-TL-840</t>
  </si>
  <si>
    <t>SET674-TL-872</t>
  </si>
  <si>
    <t>SET674-TL-904</t>
  </si>
  <si>
    <t>SET674-TL-936</t>
  </si>
  <si>
    <t>SET674-TL-968</t>
  </si>
  <si>
    <t>SET674-TL-1000</t>
  </si>
  <si>
    <t>SET674-TL-1032</t>
  </si>
  <si>
    <t>SET674-TL-1064</t>
  </si>
  <si>
    <t>SET674-TL-1096</t>
  </si>
  <si>
    <t>SET674-TL-1128</t>
  </si>
  <si>
    <t>SET674-TL-1160</t>
  </si>
  <si>
    <t>SET674-TL-1192</t>
  </si>
  <si>
    <t>SET674-TL-1224</t>
  </si>
  <si>
    <t>SET674-TL-1256</t>
  </si>
  <si>
    <t>SET674-TL-1288</t>
  </si>
  <si>
    <t>SET674-TL-1320</t>
  </si>
  <si>
    <t>SET674-TL-1352</t>
  </si>
  <si>
    <t>SET674-TL-1384</t>
  </si>
  <si>
    <t>SET674-TL-1416</t>
  </si>
  <si>
    <t>SET674-TL-1448</t>
  </si>
  <si>
    <t>SET674-TL-1480</t>
  </si>
  <si>
    <t>SET674-TL-1512</t>
  </si>
  <si>
    <t>SET674-TL-1544</t>
  </si>
  <si>
    <t>SET674-TL-1576</t>
  </si>
  <si>
    <t>SET674-TL-1608</t>
  </si>
  <si>
    <t>SET674-TL-1640</t>
  </si>
  <si>
    <t>SET674-TL-1672</t>
  </si>
  <si>
    <t>SET674-TL-1704</t>
  </si>
  <si>
    <t>SET674-TL-1736</t>
  </si>
  <si>
    <t>SET674-TL-1768</t>
  </si>
  <si>
    <t>SET674-TL-1800</t>
  </si>
  <si>
    <t>SET674-TL-1832</t>
  </si>
  <si>
    <t>SET674-TL-1864</t>
  </si>
  <si>
    <t>SET674-TL-1896</t>
  </si>
  <si>
    <t>SET674-TL-1928</t>
  </si>
  <si>
    <t>SET674-TL-1960</t>
  </si>
  <si>
    <t>SET674-TL-1992</t>
  </si>
  <si>
    <t>SET674-TL-2024</t>
  </si>
  <si>
    <t>SET674-TL-2056</t>
  </si>
  <si>
    <t>SET674-TL-2088</t>
  </si>
  <si>
    <t>SET674-TL-2120</t>
  </si>
  <si>
    <t>SET674-TL-2152</t>
  </si>
  <si>
    <t>SET674-TL-2184</t>
  </si>
  <si>
    <t>SET674-TL-2216</t>
  </si>
  <si>
    <t>SET674-TL-2248</t>
  </si>
  <si>
    <t>SET674-TL-2280</t>
  </si>
  <si>
    <t>SET674-TL-2312</t>
  </si>
  <si>
    <t>SET674-TL-2344</t>
  </si>
  <si>
    <t>SET674-TL-2376</t>
  </si>
  <si>
    <t>SET674-TL-2408</t>
  </si>
  <si>
    <t>SET674-TL-2440</t>
  </si>
  <si>
    <t>SET674-TL-2472</t>
  </si>
  <si>
    <t>SET674-TL-2504</t>
  </si>
  <si>
    <t>SET674-TL-2536</t>
  </si>
  <si>
    <t>SET674-TL-2568</t>
  </si>
  <si>
    <t>SET674-TL-2600</t>
  </si>
  <si>
    <t>SET674-TL-2632</t>
  </si>
  <si>
    <t>SET674-TL-2664</t>
  </si>
  <si>
    <t>SET674-TL-2696</t>
  </si>
  <si>
    <t>SET674-TL-2728</t>
  </si>
  <si>
    <t>SET674-TL-2760</t>
  </si>
  <si>
    <t>SET674-TL-2792</t>
  </si>
  <si>
    <t>SET674-TL-2824</t>
  </si>
  <si>
    <t>SET674-TL-2856</t>
  </si>
  <si>
    <t>SET674-TL-2888</t>
  </si>
  <si>
    <t>SET674-TL-2920</t>
  </si>
  <si>
    <t>SET674-TL-2952</t>
  </si>
  <si>
    <t>SET674-TL-2984</t>
  </si>
  <si>
    <t>SET674-TL-3016</t>
  </si>
  <si>
    <t>SET674-TL-3048</t>
  </si>
  <si>
    <t>SET674-TL-3080</t>
  </si>
  <si>
    <t>SET674-TL-3112</t>
  </si>
  <si>
    <t>SET674-TL-3144</t>
  </si>
  <si>
    <t>SET674-TL-3176</t>
  </si>
  <si>
    <t>SET674-TL-3208</t>
  </si>
  <si>
    <t>SET674-TL-3240</t>
  </si>
  <si>
    <t>SET674-TL-3272</t>
  </si>
  <si>
    <t>SET674-TL-3304</t>
  </si>
  <si>
    <t>SET674-TL-3336</t>
  </si>
  <si>
    <t>SET674-TL-3368</t>
  </si>
  <si>
    <t>SET674-TL-3400</t>
  </si>
  <si>
    <t>SET674-TL-3432</t>
  </si>
  <si>
    <t>SET674-TL-3464</t>
  </si>
  <si>
    <t>SET674-TL-3496</t>
  </si>
  <si>
    <t>SET674-TL-3528</t>
  </si>
  <si>
    <t>SET674-TL-3560</t>
  </si>
  <si>
    <t>SET674-TL-3592</t>
  </si>
  <si>
    <t>SET674-TL-3624</t>
  </si>
  <si>
    <t>SET674-TL-3656</t>
  </si>
  <si>
    <t>SET674-TL-3688</t>
  </si>
  <si>
    <t>SET674-TL-3720</t>
  </si>
  <si>
    <t>SET674-TL-3752</t>
  </si>
  <si>
    <t>SET674-TL-3784</t>
  </si>
  <si>
    <t>SET674-TL-3816</t>
  </si>
  <si>
    <t>SET674-TL-3848</t>
  </si>
  <si>
    <t>SET674-TL-3880</t>
  </si>
  <si>
    <t>SET674-TL-3912</t>
  </si>
  <si>
    <t>SET674-TL-3944</t>
  </si>
  <si>
    <t>SET674-TL-3976</t>
  </si>
  <si>
    <t>SET674-TL-4008</t>
  </si>
  <si>
    <t>SET674-TL-4040</t>
  </si>
  <si>
    <t>SET674-TL-4072</t>
  </si>
  <si>
    <t>SET674-TL-4104</t>
  </si>
  <si>
    <t>SET674-TL-4136</t>
  </si>
  <si>
    <t>SET674-TL-4168</t>
  </si>
  <si>
    <t>SET674-TL-4200</t>
  </si>
  <si>
    <t>SET674-TL-4232</t>
  </si>
  <si>
    <t>SET674-TL-4264</t>
  </si>
  <si>
    <t>SET674-TL-4296</t>
  </si>
  <si>
    <t>SET674-TL-4328</t>
  </si>
  <si>
    <t>SET674-TL-4360</t>
  </si>
  <si>
    <t>SET674-TL-4392</t>
  </si>
  <si>
    <t>SET674-TL-4424</t>
  </si>
  <si>
    <t>SET674-TL-4456</t>
  </si>
  <si>
    <t>SET674-TL-4488</t>
  </si>
  <si>
    <t>SET674-TL-4520</t>
  </si>
  <si>
    <t>SET674-TL-4552</t>
  </si>
  <si>
    <t>SET674-TL-4584</t>
  </si>
  <si>
    <t>SET674-TL-4616</t>
  </si>
  <si>
    <t>SET674-TL-4648</t>
  </si>
  <si>
    <t>SET674-TL-4680</t>
  </si>
  <si>
    <t>SET674-TL-4712</t>
  </si>
  <si>
    <t>SET674-TL-4744</t>
  </si>
  <si>
    <t>SET674-TL-4776</t>
  </si>
  <si>
    <t>SET674-TL-4808</t>
  </si>
  <si>
    <t>SET674-TL-4840</t>
  </si>
  <si>
    <t>SET674-TL-4872</t>
  </si>
  <si>
    <t>SET674-TL-4904</t>
  </si>
  <si>
    <t>SET674-TL-4936</t>
  </si>
  <si>
    <t>SET674-TL-4968</t>
  </si>
  <si>
    <t>SET674-TL-5000</t>
  </si>
  <si>
    <t>SET674-TL-5032</t>
  </si>
  <si>
    <t>SET674-TL-5064</t>
  </si>
  <si>
    <t>SET674-TL-5096</t>
  </si>
  <si>
    <t>SET674-TL-5128</t>
  </si>
  <si>
    <t>SET674-TL-5160</t>
  </si>
  <si>
    <t>SET674-TL-5192</t>
  </si>
  <si>
    <t>SET674-TL-5224</t>
  </si>
  <si>
    <t>SET674-TL-5256</t>
  </si>
  <si>
    <t>SET674-TL-5288</t>
  </si>
  <si>
    <t>SET674-TL-5320</t>
  </si>
  <si>
    <t>SET674-TL-5352</t>
  </si>
  <si>
    <t>SET674-TL-5384</t>
  </si>
  <si>
    <t>SET674-TL-5416</t>
  </si>
  <si>
    <t>SET674-TL-5448</t>
  </si>
  <si>
    <t>SET674-TL-5480</t>
  </si>
  <si>
    <t>SET674-TL-5512</t>
  </si>
  <si>
    <t>SET674-TL-5544</t>
  </si>
  <si>
    <t>SET674-TL-5576</t>
  </si>
  <si>
    <t>SET674-TL-5608</t>
  </si>
  <si>
    <t>SET674-TL-5640</t>
  </si>
  <si>
    <t>SET674-TL-5672</t>
  </si>
  <si>
    <t>SET674-TL-5704</t>
  </si>
  <si>
    <t>SET674-TL-5736</t>
  </si>
  <si>
    <t>SET674-TL-5768</t>
  </si>
  <si>
    <t>SET674-TL-5800</t>
  </si>
  <si>
    <t>SET674-TL-5832</t>
  </si>
  <si>
    <t>SET674-TL-5864</t>
  </si>
  <si>
    <t>SET674-TL-5896</t>
  </si>
  <si>
    <t>SET674-TL-5928</t>
  </si>
  <si>
    <t>kurta set</t>
  </si>
  <si>
    <t>ujjain</t>
  </si>
  <si>
    <t>delivered</t>
  </si>
  <si>
    <t>returned</t>
  </si>
  <si>
    <t>cancelled</t>
  </si>
  <si>
    <t>ship country</t>
  </si>
  <si>
    <t>India</t>
  </si>
  <si>
    <t>Sum of amount</t>
  </si>
  <si>
    <t>Row Labels</t>
  </si>
  <si>
    <t>Jan</t>
  </si>
  <si>
    <t>Feb</t>
  </si>
  <si>
    <t>Mar</t>
  </si>
  <si>
    <t>Apr</t>
  </si>
  <si>
    <t>May</t>
  </si>
  <si>
    <t>Jun</t>
  </si>
  <si>
    <t>Jul</t>
  </si>
  <si>
    <t>Aug</t>
  </si>
  <si>
    <t>Sep</t>
  </si>
  <si>
    <t>Oct</t>
  </si>
  <si>
    <t>Nov</t>
  </si>
  <si>
    <t>Dec</t>
  </si>
  <si>
    <t>Grand Total</t>
  </si>
  <si>
    <t>Count of order id</t>
  </si>
  <si>
    <t>adult</t>
  </si>
  <si>
    <t>senior</t>
  </si>
  <si>
    <t>teenager</t>
  </si>
  <si>
    <t>Vanshika Store Annual Report 2024</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</si>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</sst>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2"/>
      <color theme="1"/>
      <name val="Calibri"/>
      <family val="2"/>
      <scheme val="minor"/>
    </font>
    <font>
      <sz val="8"/>
      <name val="Calibri"/>
      <family val="2"/>
      <scheme val="minor"/>
    </font>
    <font>
      <b/>
      <sz val="24"/>
      <color theme="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5" tint="-0.499984740745262"/>
        <bgColor indexed="64"/>
      </patternFill>
    </fill>
    <fill>
      <patternFill patternType="solid">
        <fgColor theme="5" tint="0.59999389629810485"/>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2" fillId="0" borderId="0"/>
  </cellStyleXfs>
  <cellXfs count="17">
    <xf numFmtId="0" fontId="0" fillId="0" borderId="0" xfId="0"/>
    <xf numFmtId="0" fontId="0" fillId="0" borderId="1" xfId="0" applyBorder="1"/>
    <xf numFmtId="0" fontId="0" fillId="0" borderId="2" xfId="0" applyBorder="1"/>
    <xf numFmtId="14" fontId="0" fillId="0" borderId="1" xfId="0" applyNumberFormat="1" applyBorder="1"/>
    <xf numFmtId="0" fontId="0" fillId="0" borderId="3" xfId="0" applyBorder="1"/>
    <xf numFmtId="0" fontId="0" fillId="0" borderId="4" xfId="0" applyBorder="1"/>
    <xf numFmtId="0" fontId="1" fillId="2" borderId="5" xfId="0" applyFont="1" applyFill="1" applyBorder="1" applyAlignment="1">
      <alignment horizontal="center"/>
    </xf>
    <xf numFmtId="0" fontId="1" fillId="2" borderId="6" xfId="0" applyFont="1" applyFill="1" applyBorder="1" applyAlignment="1">
      <alignment horizontal="center"/>
    </xf>
    <xf numFmtId="0" fontId="1" fillId="2" borderId="7" xfId="0" applyFont="1" applyFill="1" applyBorder="1" applyAlignment="1">
      <alignment horizontal="center"/>
    </xf>
    <xf numFmtId="0" fontId="0" fillId="0" borderId="8" xfId="0" applyBorder="1"/>
    <xf numFmtId="0" fontId="0" fillId="0" borderId="9" xfId="0" applyBorder="1"/>
    <xf numFmtId="0" fontId="0" fillId="0" borderId="6" xfId="0" applyBorder="1"/>
    <xf numFmtId="0" fontId="0" fillId="0" borderId="0" xfId="0" pivotButton="1"/>
    <xf numFmtId="0" fontId="0" fillId="0" borderId="0" xfId="0" applyAlignment="1">
      <alignment horizontal="left"/>
    </xf>
    <xf numFmtId="0" fontId="0" fillId="3" borderId="0" xfId="0" applyFill="1"/>
    <xf numFmtId="0" fontId="0" fillId="4" borderId="0" xfId="0" applyFill="1"/>
    <xf numFmtId="0" fontId="4" fillId="3" borderId="0" xfId="0" applyFont="1" applyFill="1" applyAlignment="1">
      <alignment horizontal="center"/>
    </xf>
  </cellXfs>
  <cellStyles count="2">
    <cellStyle name="Normal" xfId="0" builtinId="0"/>
    <cellStyle name="Normal 2" xfId="1" xr:uid="{840ABEF7-68DA-4F74-81C5-E85C297175C9}"/>
  </cellStyles>
  <dxfs count="22">
    <dxf>
      <font>
        <color rgb="FF9C0006"/>
      </font>
      <fill>
        <patternFill>
          <bgColor rgb="FFFFC7CE"/>
        </patternFill>
      </fill>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rgb="FFFFFF00"/>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[Excelproject.xlsx]sales vs orders!PivotTable1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Orders</a:t>
            </a:r>
            <a:r>
              <a:rPr lang="en-IN" baseline="0"/>
              <a:t> VS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vs orders'!$B$3</c:f>
              <c:strCache>
                <c:ptCount val="1"/>
                <c:pt idx="0">
                  <c:v>Sum of amount</c:v>
                </c:pt>
              </c:strCache>
            </c:strRef>
          </c:tx>
          <c:spPr>
            <a:solidFill>
              <a:schemeClr val="accent1"/>
            </a:solidFill>
            <a:ln>
              <a:noFill/>
            </a:ln>
            <a:effectLst/>
          </c:spPr>
          <c:invertIfNegative val="0"/>
          <c:cat>
            <c:strRef>
              <c:f>'sales vs orders'!$A$4:$A$15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vs orders'!$B$4:$B$15</c:f>
              <c:numCache>
                <c:formatCode>General</c:formatCode>
                <c:ptCount val="12"/>
                <c:pt idx="0">
                  <c:v>4017</c:v>
                </c:pt>
                <c:pt idx="1">
                  <c:v>4618</c:v>
                </c:pt>
                <c:pt idx="2">
                  <c:v>11496</c:v>
                </c:pt>
                <c:pt idx="3">
                  <c:v>16285</c:v>
                </c:pt>
                <c:pt idx="4">
                  <c:v>37452</c:v>
                </c:pt>
                <c:pt idx="5">
                  <c:v>23319</c:v>
                </c:pt>
                <c:pt idx="6">
                  <c:v>29783</c:v>
                </c:pt>
                <c:pt idx="7">
                  <c:v>30451</c:v>
                </c:pt>
                <c:pt idx="8">
                  <c:v>24793</c:v>
                </c:pt>
                <c:pt idx="9">
                  <c:v>54702</c:v>
                </c:pt>
                <c:pt idx="10">
                  <c:v>48823</c:v>
                </c:pt>
                <c:pt idx="11">
                  <c:v>35200</c:v>
                </c:pt>
              </c:numCache>
            </c:numRef>
          </c:val>
          <c:extLst>
            <c:ext xmlns:c16="http://schemas.microsoft.com/office/drawing/2014/chart" uri="{C3380CC4-5D6E-409C-BE32-E72D297353CC}">
              <c16:uniqueId val="{00000000-6913-42A1-ACE1-D1B99F82B9D7}"/>
            </c:ext>
          </c:extLst>
        </c:ser>
        <c:dLbls>
          <c:showLegendKey val="0"/>
          <c:showVal val="0"/>
          <c:showCatName val="0"/>
          <c:showSerName val="0"/>
          <c:showPercent val="0"/>
          <c:showBubbleSize val="0"/>
        </c:dLbls>
        <c:gapWidth val="219"/>
        <c:overlap val="-27"/>
        <c:axId val="213425936"/>
        <c:axId val="213426416"/>
      </c:barChart>
      <c:lineChart>
        <c:grouping val="standard"/>
        <c:varyColors val="0"/>
        <c:ser>
          <c:idx val="1"/>
          <c:order val="1"/>
          <c:tx>
            <c:strRef>
              <c:f>'sales vs orders'!$C$3</c:f>
              <c:strCache>
                <c:ptCount val="1"/>
                <c:pt idx="0">
                  <c:v>Count of order id</c:v>
                </c:pt>
              </c:strCache>
            </c:strRef>
          </c:tx>
          <c:spPr>
            <a:ln w="28575" cap="rnd">
              <a:solidFill>
                <a:schemeClr val="accent2"/>
              </a:solidFill>
              <a:round/>
            </a:ln>
            <a:effectLst/>
          </c:spPr>
          <c:marker>
            <c:symbol val="none"/>
          </c:marker>
          <c:cat>
            <c:strRef>
              <c:f>'sales vs orders'!$A$4:$A$15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vs orders'!$C$4:$C$15</c:f>
              <c:numCache>
                <c:formatCode>General</c:formatCode>
                <c:ptCount val="12"/>
                <c:pt idx="0">
                  <c:v>5</c:v>
                </c:pt>
                <c:pt idx="1">
                  <c:v>6</c:v>
                </c:pt>
                <c:pt idx="2">
                  <c:v>8</c:v>
                </c:pt>
                <c:pt idx="3">
                  <c:v>23</c:v>
                </c:pt>
                <c:pt idx="4">
                  <c:v>31</c:v>
                </c:pt>
                <c:pt idx="5">
                  <c:v>30</c:v>
                </c:pt>
                <c:pt idx="6">
                  <c:v>31</c:v>
                </c:pt>
                <c:pt idx="7">
                  <c:v>31</c:v>
                </c:pt>
                <c:pt idx="8">
                  <c:v>30</c:v>
                </c:pt>
                <c:pt idx="9">
                  <c:v>38</c:v>
                </c:pt>
                <c:pt idx="10">
                  <c:v>41</c:v>
                </c:pt>
                <c:pt idx="11">
                  <c:v>26</c:v>
                </c:pt>
              </c:numCache>
            </c:numRef>
          </c:val>
          <c:smooth val="0"/>
          <c:extLst>
            <c:ext xmlns:c16="http://schemas.microsoft.com/office/drawing/2014/chart" uri="{C3380CC4-5D6E-409C-BE32-E72D297353CC}">
              <c16:uniqueId val="{00000001-6913-42A1-ACE1-D1B99F82B9D7}"/>
            </c:ext>
          </c:extLst>
        </c:ser>
        <c:dLbls>
          <c:showLegendKey val="0"/>
          <c:showVal val="0"/>
          <c:showCatName val="0"/>
          <c:showSerName val="0"/>
          <c:showPercent val="0"/>
          <c:showBubbleSize val="0"/>
        </c:dLbls>
        <c:marker val="1"/>
        <c:smooth val="0"/>
        <c:axId val="213429296"/>
        <c:axId val="213435056"/>
      </c:lineChart>
      <c:catAx>
        <c:axId val="213425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426416"/>
        <c:crosses val="autoZero"/>
        <c:auto val="1"/>
        <c:lblAlgn val="ctr"/>
        <c:lblOffset val="100"/>
        <c:noMultiLvlLbl val="0"/>
      </c:catAx>
      <c:valAx>
        <c:axId val="213426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425936"/>
        <c:crosses val="autoZero"/>
        <c:crossBetween val="between"/>
      </c:valAx>
      <c:valAx>
        <c:axId val="21343505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429296"/>
        <c:crosses val="max"/>
        <c:crossBetween val="between"/>
      </c:valAx>
      <c:catAx>
        <c:axId val="213429296"/>
        <c:scaling>
          <c:orientation val="minMax"/>
        </c:scaling>
        <c:delete val="1"/>
        <c:axPos val="b"/>
        <c:numFmt formatCode="General" sourceLinked="1"/>
        <c:majorTickMark val="out"/>
        <c:minorTickMark val="none"/>
        <c:tickLblPos val="nextTo"/>
        <c:crossAx val="21343505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[Excelproject.xlsx]female vs male!PivotTable2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Sales:Female</a:t>
            </a:r>
            <a:r>
              <a:rPr lang="en-US" baseline="0"/>
              <a:t> Vs  Male</a:t>
            </a:r>
            <a:endParaRPr lang="en-US"/>
          </a:p>
        </c:rich>
      </c:tx>
      <c:layout>
        <c:manualLayout>
          <c:xMode val="edge"/>
          <c:yMode val="edge"/>
          <c:x val="0.25140470766894457"/>
          <c:y val="6.41025641025640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3409961685823754"/>
              <c:y val="-0.18193632228719947"/>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0344827586206889"/>
              <c:y val="0.14294996751137101"/>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'female vs male'!$B$3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E62A-47BA-A7EB-091E8B316F2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62A-47BA-A7EB-091E8B316F24}"/>
              </c:ext>
            </c:extLst>
          </c:dPt>
          <c:dLbls>
            <c:dLbl>
              <c:idx val="0"/>
              <c:layout>
                <c:manualLayout>
                  <c:x val="-0.13409961685823754"/>
                  <c:y val="-0.1819363222871994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E62A-47BA-A7EB-091E8B316F24}"/>
                </c:ext>
              </c:extLst>
            </c:dLbl>
            <c:dLbl>
              <c:idx val="1"/>
              <c:layout>
                <c:manualLayout>
                  <c:x val="0.10344827586206889"/>
                  <c:y val="0.1429499675113710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62A-47BA-A7EB-091E8B316F24}"/>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'female vs male'!$A$4:$A$6</c:f>
              <c:strCache>
                <c:ptCount val="2"/>
                <c:pt idx="0">
                  <c:v>female</c:v>
                </c:pt>
                <c:pt idx="1">
                  <c:v>male</c:v>
                </c:pt>
              </c:strCache>
            </c:strRef>
          </c:cat>
          <c:val>
            <c:numRef>
              <c:f>'female vs male'!$B$4:$B$6</c:f>
              <c:numCache>
                <c:formatCode>General</c:formatCode>
                <c:ptCount val="2"/>
                <c:pt idx="0">
                  <c:v>227438</c:v>
                </c:pt>
                <c:pt idx="1">
                  <c:v>93501</c:v>
                </c:pt>
              </c:numCache>
            </c:numRef>
          </c:val>
          <c:extLst>
            <c:ext xmlns:c16="http://schemas.microsoft.com/office/drawing/2014/chart" uri="{C3380CC4-5D6E-409C-BE32-E72D297353CC}">
              <c16:uniqueId val="{00000000-E62A-47BA-A7EB-091E8B316F24}"/>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[Excelproject.xlsx]age_group!PivotTable3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Sales:Age</a:t>
            </a:r>
            <a:r>
              <a:rPr lang="en-IN" baseline="0"/>
              <a:t> group</a:t>
            </a:r>
          </a:p>
          <a:p>
            <a:pPr>
              <a:defRPr/>
            </a:pPr>
            <a:endParaRPr lang="en-IN"/>
          </a:p>
        </c:rich>
      </c:tx>
      <c:layout>
        <c:manualLayout>
          <c:xMode val="edge"/>
          <c:yMode val="edge"/>
          <c:x val="0.3387023390613248"/>
          <c:y val="6.63050030138637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age_group!$B$3</c:f>
              <c:strCache>
                <c:ptCount val="1"/>
                <c:pt idx="0">
                  <c:v>Total</c:v>
                </c:pt>
              </c:strCache>
            </c:strRef>
          </c:tx>
          <c:spPr>
            <a:solidFill>
              <a:schemeClr val="accent1"/>
            </a:solidFill>
            <a:ln>
              <a:noFill/>
            </a:ln>
            <a:effectLst/>
          </c:spPr>
          <c:invertIfNegative val="0"/>
          <c:cat>
            <c:strRef>
              <c:f>age_group!$A$4:$A$6</c:f>
              <c:strCache>
                <c:ptCount val="3"/>
                <c:pt idx="0">
                  <c:v>adult</c:v>
                </c:pt>
                <c:pt idx="1">
                  <c:v>teenager</c:v>
                </c:pt>
                <c:pt idx="2">
                  <c:v>senior</c:v>
                </c:pt>
              </c:strCache>
            </c:strRef>
          </c:cat>
          <c:val>
            <c:numRef>
              <c:f>age_group!$B$4:$B$6</c:f>
              <c:numCache>
                <c:formatCode>General</c:formatCode>
                <c:ptCount val="3"/>
                <c:pt idx="0">
                  <c:v>275304</c:v>
                </c:pt>
                <c:pt idx="1">
                  <c:v>35654</c:v>
                </c:pt>
                <c:pt idx="2">
                  <c:v>9981</c:v>
                </c:pt>
              </c:numCache>
            </c:numRef>
          </c:val>
          <c:extLst>
            <c:ext xmlns:c16="http://schemas.microsoft.com/office/drawing/2014/chart" uri="{C3380CC4-5D6E-409C-BE32-E72D297353CC}">
              <c16:uniqueId val="{00000000-B1B4-4D97-83B7-85C7C0EBF6E6}"/>
            </c:ext>
          </c:extLst>
        </c:ser>
        <c:dLbls>
          <c:showLegendKey val="0"/>
          <c:showVal val="0"/>
          <c:showCatName val="0"/>
          <c:showSerName val="0"/>
          <c:showPercent val="0"/>
          <c:showBubbleSize val="0"/>
        </c:dLbls>
        <c:gapWidth val="182"/>
        <c:axId val="374484816"/>
        <c:axId val="374485296"/>
      </c:barChart>
      <c:catAx>
        <c:axId val="374484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485296"/>
        <c:crosses val="autoZero"/>
        <c:auto val="1"/>
        <c:lblAlgn val="ctr"/>
        <c:lblOffset val="100"/>
        <c:noMultiLvlLbl val="0"/>
      </c:catAx>
      <c:valAx>
        <c:axId val="3744852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484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[Excelproject.xlsx]sales vs orders!PivotTable1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Orders</a:t>
            </a:r>
            <a:r>
              <a:rPr lang="en-IN" baseline="0"/>
              <a:t> VS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vs orders'!$B$3</c:f>
              <c:strCache>
                <c:ptCount val="1"/>
                <c:pt idx="0">
                  <c:v>Sum of amount</c:v>
                </c:pt>
              </c:strCache>
            </c:strRef>
          </c:tx>
          <c:spPr>
            <a:solidFill>
              <a:schemeClr val="accent2">
                <a:tint val="77000"/>
              </a:schemeClr>
            </a:solidFill>
            <a:ln>
              <a:noFill/>
            </a:ln>
            <a:effectLst/>
          </c:spPr>
          <c:invertIfNegative val="0"/>
          <c:cat>
            <c:strRef>
              <c:f>'sales vs orders'!$A$4:$A$15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vs orders'!$B$4:$B$15</c:f>
              <c:numCache>
                <c:formatCode>General</c:formatCode>
                <c:ptCount val="12"/>
                <c:pt idx="0">
                  <c:v>4017</c:v>
                </c:pt>
                <c:pt idx="1">
                  <c:v>4618</c:v>
                </c:pt>
                <c:pt idx="2">
                  <c:v>11496</c:v>
                </c:pt>
                <c:pt idx="3">
                  <c:v>16285</c:v>
                </c:pt>
                <c:pt idx="4">
                  <c:v>37452</c:v>
                </c:pt>
                <c:pt idx="5">
                  <c:v>23319</c:v>
                </c:pt>
                <c:pt idx="6">
                  <c:v>29783</c:v>
                </c:pt>
                <c:pt idx="7">
                  <c:v>30451</c:v>
                </c:pt>
                <c:pt idx="8">
                  <c:v>24793</c:v>
                </c:pt>
                <c:pt idx="9">
                  <c:v>54702</c:v>
                </c:pt>
                <c:pt idx="10">
                  <c:v>48823</c:v>
                </c:pt>
                <c:pt idx="11">
                  <c:v>35200</c:v>
                </c:pt>
              </c:numCache>
            </c:numRef>
          </c:val>
          <c:extLst>
            <c:ext xmlns:c16="http://schemas.microsoft.com/office/drawing/2014/chart" uri="{C3380CC4-5D6E-409C-BE32-E72D297353CC}">
              <c16:uniqueId val="{00000000-C2FA-4C43-BC3A-64F72DA33220}"/>
            </c:ext>
          </c:extLst>
        </c:ser>
        <c:dLbls>
          <c:showLegendKey val="0"/>
          <c:showVal val="0"/>
          <c:showCatName val="0"/>
          <c:showSerName val="0"/>
          <c:showPercent val="0"/>
          <c:showBubbleSize val="0"/>
        </c:dLbls>
        <c:gapWidth val="219"/>
        <c:overlap val="-27"/>
        <c:axId val="213425936"/>
        <c:axId val="213426416"/>
      </c:barChart>
      <c:lineChart>
        <c:grouping val="standard"/>
        <c:varyColors val="0"/>
        <c:ser>
          <c:idx val="1"/>
          <c:order val="1"/>
          <c:tx>
            <c:strRef>
              <c:f>'sales vs orders'!$C$3</c:f>
              <c:strCache>
                <c:ptCount val="1"/>
                <c:pt idx="0">
                  <c:v>Count of order id</c:v>
                </c:pt>
              </c:strCache>
            </c:strRef>
          </c:tx>
          <c:spPr>
            <a:ln w="28575" cap="rnd">
              <a:solidFill>
                <a:schemeClr val="accent2">
                  <a:shade val="76000"/>
                </a:schemeClr>
              </a:solidFill>
              <a:round/>
            </a:ln>
            <a:effectLst/>
          </c:spPr>
          <c:marker>
            <c:symbol val="none"/>
          </c:marker>
          <c:cat>
            <c:strRef>
              <c:f>'sales vs orders'!$A$4:$A$15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vs orders'!$C$4:$C$15</c:f>
              <c:numCache>
                <c:formatCode>General</c:formatCode>
                <c:ptCount val="12"/>
                <c:pt idx="0">
                  <c:v>5</c:v>
                </c:pt>
                <c:pt idx="1">
                  <c:v>6</c:v>
                </c:pt>
                <c:pt idx="2">
                  <c:v>8</c:v>
                </c:pt>
                <c:pt idx="3">
                  <c:v>23</c:v>
                </c:pt>
                <c:pt idx="4">
                  <c:v>31</c:v>
                </c:pt>
                <c:pt idx="5">
                  <c:v>30</c:v>
                </c:pt>
                <c:pt idx="6">
                  <c:v>31</c:v>
                </c:pt>
                <c:pt idx="7">
                  <c:v>31</c:v>
                </c:pt>
                <c:pt idx="8">
                  <c:v>30</c:v>
                </c:pt>
                <c:pt idx="9">
                  <c:v>38</c:v>
                </c:pt>
                <c:pt idx="10">
                  <c:v>41</c:v>
                </c:pt>
                <c:pt idx="11">
                  <c:v>26</c:v>
                </c:pt>
              </c:numCache>
            </c:numRef>
          </c:val>
          <c:smooth val="0"/>
          <c:extLst>
            <c:ext xmlns:c16="http://schemas.microsoft.com/office/drawing/2014/chart" uri="{C3380CC4-5D6E-409C-BE32-E72D297353CC}">
              <c16:uniqueId val="{00000001-C2FA-4C43-BC3A-64F72DA33220}"/>
            </c:ext>
          </c:extLst>
        </c:ser>
        <c:dLbls>
          <c:showLegendKey val="0"/>
          <c:showVal val="0"/>
          <c:showCatName val="0"/>
          <c:showSerName val="0"/>
          <c:showPercent val="0"/>
          <c:showBubbleSize val="0"/>
        </c:dLbls>
        <c:marker val="1"/>
        <c:smooth val="0"/>
        <c:axId val="213429296"/>
        <c:axId val="213435056"/>
      </c:lineChart>
      <c:catAx>
        <c:axId val="213425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426416"/>
        <c:crosses val="autoZero"/>
        <c:auto val="1"/>
        <c:lblAlgn val="ctr"/>
        <c:lblOffset val="100"/>
        <c:noMultiLvlLbl val="0"/>
      </c:catAx>
      <c:valAx>
        <c:axId val="213426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425936"/>
        <c:crosses val="autoZero"/>
        <c:crossBetween val="between"/>
      </c:valAx>
      <c:valAx>
        <c:axId val="21343505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429296"/>
        <c:crosses val="max"/>
        <c:crossBetween val="between"/>
      </c:valAx>
      <c:catAx>
        <c:axId val="213429296"/>
        <c:scaling>
          <c:orientation val="minMax"/>
        </c:scaling>
        <c:delete val="1"/>
        <c:axPos val="b"/>
        <c:numFmt formatCode="General" sourceLinked="1"/>
        <c:majorTickMark val="out"/>
        <c:minorTickMark val="none"/>
        <c:tickLblPos val="nextTo"/>
        <c:crossAx val="21343505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[Excelproject.xlsx]female vs male!PivotTable2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Sales:Female</a:t>
            </a:r>
            <a:r>
              <a:rPr lang="en-US" baseline="0"/>
              <a:t> Vs  Male</a:t>
            </a:r>
            <a:endParaRPr lang="en-US"/>
          </a:p>
        </c:rich>
      </c:tx>
      <c:layout>
        <c:manualLayout>
          <c:xMode val="edge"/>
          <c:yMode val="edge"/>
          <c:x val="0.26215731098128864"/>
          <c:y val="0.1040570057167511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dLbl>
          <c:idx val="0"/>
          <c:layout>
            <c:manualLayout>
              <c:x val="-0.13409961685823754"/>
              <c:y val="-0.18193632228719947"/>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0.10344827586206889"/>
              <c:y val="0.14294996751137101"/>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2"/>
          </a:solidFill>
          <a:ln w="19050">
            <a:solidFill>
              <a:schemeClr val="lt1"/>
            </a:solidFill>
          </a:ln>
          <a:effectLst/>
        </c:spPr>
        <c:dLbl>
          <c:idx val="0"/>
          <c:layout>
            <c:manualLayout>
              <c:x val="-0.13409961685823754"/>
              <c:y val="-0.18193632228719947"/>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2"/>
          </a:solidFill>
          <a:ln w="19050">
            <a:solidFill>
              <a:schemeClr val="lt1"/>
            </a:solidFill>
          </a:ln>
          <a:effectLst/>
        </c:spPr>
        <c:dLbl>
          <c:idx val="0"/>
          <c:layout>
            <c:manualLayout>
              <c:x val="0.10344827586206889"/>
              <c:y val="0.14294996751137101"/>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2">
              <a:shade val="76000"/>
            </a:schemeClr>
          </a:solidFill>
          <a:ln w="19050">
            <a:solidFill>
              <a:schemeClr val="lt1"/>
            </a:solidFill>
          </a:ln>
          <a:effectLst/>
        </c:spPr>
        <c:dLbl>
          <c:idx val="0"/>
          <c:layout>
            <c:manualLayout>
              <c:x val="-0.13409961685823754"/>
              <c:y val="-0.18193632228719947"/>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2">
              <a:tint val="77000"/>
            </a:schemeClr>
          </a:solidFill>
          <a:ln w="19050">
            <a:solidFill>
              <a:schemeClr val="lt1"/>
            </a:solidFill>
          </a:ln>
          <a:effectLst/>
        </c:spPr>
        <c:dLbl>
          <c:idx val="0"/>
          <c:layout>
            <c:manualLayout>
              <c:x val="0.10344827586206889"/>
              <c:y val="0.14294996751137101"/>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'female vs male'!$B$3</c:f>
              <c:strCache>
                <c:ptCount val="1"/>
                <c:pt idx="0">
                  <c:v>Total</c:v>
                </c:pt>
              </c:strCache>
            </c:strRef>
          </c:tx>
          <c:dPt>
            <c:idx val="0"/>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1-058E-4F27-8608-EE9D4DD66C2F}"/>
              </c:ext>
            </c:extLst>
          </c:dPt>
          <c:dPt>
            <c:idx val="1"/>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3-058E-4F27-8608-EE9D4DD66C2F}"/>
              </c:ext>
            </c:extLst>
          </c:dPt>
          <c:dLbls>
            <c:dLbl>
              <c:idx val="0"/>
              <c:layout>
                <c:manualLayout>
                  <c:x val="-0.13409961685823754"/>
                  <c:y val="-0.1819363222871994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58E-4F27-8608-EE9D4DD66C2F}"/>
                </c:ext>
              </c:extLst>
            </c:dLbl>
            <c:dLbl>
              <c:idx val="1"/>
              <c:layout>
                <c:manualLayout>
                  <c:x val="0.10344827586206889"/>
                  <c:y val="0.1429499675113710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58E-4F27-8608-EE9D4DD66C2F}"/>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'female vs male'!$A$4:$A$6</c:f>
              <c:strCache>
                <c:ptCount val="2"/>
                <c:pt idx="0">
                  <c:v>female</c:v>
                </c:pt>
                <c:pt idx="1">
                  <c:v>male</c:v>
                </c:pt>
              </c:strCache>
            </c:strRef>
          </c:cat>
          <c:val>
            <c:numRef>
              <c:f>'female vs male'!$B$4:$B$6</c:f>
              <c:numCache>
                <c:formatCode>General</c:formatCode>
                <c:ptCount val="2"/>
                <c:pt idx="0">
                  <c:v>227438</c:v>
                </c:pt>
                <c:pt idx="1">
                  <c:v>93501</c:v>
                </c:pt>
              </c:numCache>
            </c:numRef>
          </c:val>
          <c:extLst>
            <c:ext xmlns:c16="http://schemas.microsoft.com/office/drawing/2014/chart" uri="{C3380CC4-5D6E-409C-BE32-E72D297353CC}">
              <c16:uniqueId val="{00000004-058E-4F27-8608-EE9D4DD66C2F}"/>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[Excelproject.xlsx]age_group!PivotTable3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Sales:Age</a:t>
            </a:r>
            <a:r>
              <a:rPr lang="en-IN" baseline="0"/>
              <a:t> group</a:t>
            </a:r>
          </a:p>
          <a:p>
            <a:pPr>
              <a:defRPr/>
            </a:pPr>
            <a:endParaRPr lang="en-IN"/>
          </a:p>
        </c:rich>
      </c:tx>
      <c:layout>
        <c:manualLayout>
          <c:xMode val="edge"/>
          <c:yMode val="edge"/>
          <c:x val="0.3387023390613248"/>
          <c:y val="6.63050030138637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age_group!$B$3</c:f>
              <c:strCache>
                <c:ptCount val="1"/>
                <c:pt idx="0">
                  <c:v>Total</c:v>
                </c:pt>
              </c:strCache>
            </c:strRef>
          </c:tx>
          <c:spPr>
            <a:solidFill>
              <a:schemeClr val="accent2"/>
            </a:solidFill>
            <a:ln>
              <a:noFill/>
            </a:ln>
            <a:effectLst/>
          </c:spPr>
          <c:invertIfNegative val="0"/>
          <c:cat>
            <c:strRef>
              <c:f>age_group!$A$4:$A$6</c:f>
              <c:strCache>
                <c:ptCount val="3"/>
                <c:pt idx="0">
                  <c:v>adult</c:v>
                </c:pt>
                <c:pt idx="1">
                  <c:v>teenager</c:v>
                </c:pt>
                <c:pt idx="2">
                  <c:v>senior</c:v>
                </c:pt>
              </c:strCache>
            </c:strRef>
          </c:cat>
          <c:val>
            <c:numRef>
              <c:f>age_group!$B$4:$B$6</c:f>
              <c:numCache>
                <c:formatCode>General</c:formatCode>
                <c:ptCount val="3"/>
                <c:pt idx="0">
                  <c:v>275304</c:v>
                </c:pt>
                <c:pt idx="1">
                  <c:v>35654</c:v>
                </c:pt>
                <c:pt idx="2">
                  <c:v>9981</c:v>
                </c:pt>
              </c:numCache>
            </c:numRef>
          </c:val>
          <c:extLst>
            <c:ext xmlns:c16="http://schemas.microsoft.com/office/drawing/2014/chart" uri="{C3380CC4-5D6E-409C-BE32-E72D297353CC}">
              <c16:uniqueId val="{00000000-3874-410D-B8BC-06DB844FD081}"/>
            </c:ext>
          </c:extLst>
        </c:ser>
        <c:dLbls>
          <c:showLegendKey val="0"/>
          <c:showVal val="0"/>
          <c:showCatName val="0"/>
          <c:showSerName val="0"/>
          <c:showPercent val="0"/>
          <c:showBubbleSize val="0"/>
        </c:dLbls>
        <c:gapWidth val="182"/>
        <c:axId val="374484816"/>
        <c:axId val="374485296"/>
      </c:barChart>
      <c:catAx>
        <c:axId val="374484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485296"/>
        <c:crosses val="autoZero"/>
        <c:auto val="1"/>
        <c:lblAlgn val="ctr"/>
        <c:lblOffset val="100"/>
        <c:noMultiLvlLbl val="0"/>
      </c:catAx>
      <c:valAx>
        <c:axId val="3744852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484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[Excelproject.xlsx]sales citywise!PivotTable4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Sales:City</a:t>
            </a:r>
            <a:r>
              <a:rPr lang="en-IN" baseline="0"/>
              <a:t> wise</a:t>
            </a:r>
          </a:p>
        </c:rich>
      </c:tx>
      <c:layout>
        <c:manualLayout>
          <c:xMode val="edge"/>
          <c:yMode val="edge"/>
          <c:x val="0.36422910239976714"/>
          <c:y val="5.933117583603020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'sales citywise'!$B$3</c:f>
              <c:strCache>
                <c:ptCount val="1"/>
                <c:pt idx="0">
                  <c:v>Total</c:v>
                </c:pt>
              </c:strCache>
            </c:strRef>
          </c:tx>
          <c:spPr>
            <a:solidFill>
              <a:schemeClr val="accent2"/>
            </a:solidFill>
            <a:ln>
              <a:noFill/>
            </a:ln>
            <a:effectLst/>
            <a:sp3d/>
          </c:spPr>
          <c:invertIfNegative val="0"/>
          <c:cat>
            <c:strRef>
              <c:f>'sales citywise'!$A$4:$A$20</c:f>
              <c:strCache>
                <c:ptCount val="16"/>
                <c:pt idx="0">
                  <c:v>ahmedabad</c:v>
                </c:pt>
                <c:pt idx="1">
                  <c:v>Ajmer</c:v>
                </c:pt>
                <c:pt idx="2">
                  <c:v>amritsar</c:v>
                </c:pt>
                <c:pt idx="3">
                  <c:v>bhopal</c:v>
                </c:pt>
                <c:pt idx="4">
                  <c:v>chandigarh</c:v>
                </c:pt>
                <c:pt idx="5">
                  <c:v>Delhi</c:v>
                </c:pt>
                <c:pt idx="6">
                  <c:v>dewas</c:v>
                </c:pt>
                <c:pt idx="7">
                  <c:v>gwalior</c:v>
                </c:pt>
                <c:pt idx="8">
                  <c:v>Indore</c:v>
                </c:pt>
                <c:pt idx="9">
                  <c:v>Jaipur</c:v>
                </c:pt>
                <c:pt idx="10">
                  <c:v>Mumbai</c:v>
                </c:pt>
                <c:pt idx="11">
                  <c:v>nagpur</c:v>
                </c:pt>
                <c:pt idx="12">
                  <c:v>pune</c:v>
                </c:pt>
                <c:pt idx="13">
                  <c:v>shimla</c:v>
                </c:pt>
                <c:pt idx="14">
                  <c:v>surat</c:v>
                </c:pt>
                <c:pt idx="15">
                  <c:v>Ujjain</c:v>
                </c:pt>
              </c:strCache>
            </c:strRef>
          </c:cat>
          <c:val>
            <c:numRef>
              <c:f>'sales citywise'!$B$4:$B$20</c:f>
              <c:numCache>
                <c:formatCode>General</c:formatCode>
                <c:ptCount val="16"/>
                <c:pt idx="0">
                  <c:v>1160</c:v>
                </c:pt>
                <c:pt idx="1">
                  <c:v>12465</c:v>
                </c:pt>
                <c:pt idx="2">
                  <c:v>1250</c:v>
                </c:pt>
                <c:pt idx="3">
                  <c:v>27867</c:v>
                </c:pt>
                <c:pt idx="4">
                  <c:v>2515</c:v>
                </c:pt>
                <c:pt idx="5">
                  <c:v>32623</c:v>
                </c:pt>
                <c:pt idx="6">
                  <c:v>14618</c:v>
                </c:pt>
                <c:pt idx="7">
                  <c:v>16124</c:v>
                </c:pt>
                <c:pt idx="8">
                  <c:v>51069</c:v>
                </c:pt>
                <c:pt idx="9">
                  <c:v>8438</c:v>
                </c:pt>
                <c:pt idx="10">
                  <c:v>52564</c:v>
                </c:pt>
                <c:pt idx="11">
                  <c:v>1036</c:v>
                </c:pt>
                <c:pt idx="12">
                  <c:v>38520</c:v>
                </c:pt>
                <c:pt idx="13">
                  <c:v>3025</c:v>
                </c:pt>
                <c:pt idx="14">
                  <c:v>39969</c:v>
                </c:pt>
                <c:pt idx="15">
                  <c:v>17696</c:v>
                </c:pt>
              </c:numCache>
            </c:numRef>
          </c:val>
          <c:extLst>
            <c:ext xmlns:c16="http://schemas.microsoft.com/office/drawing/2014/chart" uri="{C3380CC4-5D6E-409C-BE32-E72D297353CC}">
              <c16:uniqueId val="{00000000-F966-42AF-94DF-5E488E48CF97}"/>
            </c:ext>
          </c:extLst>
        </c:ser>
        <c:dLbls>
          <c:showLegendKey val="0"/>
          <c:showVal val="0"/>
          <c:showCatName val="0"/>
          <c:showSerName val="0"/>
          <c:showPercent val="0"/>
          <c:showBubbleSize val="0"/>
        </c:dLbls>
        <c:gapWidth val="150"/>
        <c:shape val="box"/>
        <c:axId val="374432016"/>
        <c:axId val="374428656"/>
        <c:axId val="0"/>
      </c:bar3DChart>
      <c:catAx>
        <c:axId val="3744320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428656"/>
        <c:crosses val="autoZero"/>
        <c:auto val="1"/>
        <c:lblAlgn val="ctr"/>
        <c:lblOffset val="100"/>
        <c:noMultiLvlLbl val="0"/>
      </c:catAx>
      <c:valAx>
        <c:axId val="374428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432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[Excelproject.xlsx]order channel!PivotTable1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'order channel'!$B$3</c:f>
              <c:strCache>
                <c:ptCount val="1"/>
                <c:pt idx="0">
                  <c:v>Total</c:v>
                </c:pt>
              </c:strCache>
            </c:strRef>
          </c:tx>
          <c:spPr>
            <a:solidFill>
              <a:schemeClr val="accent2"/>
            </a:solidFill>
            <a:ln>
              <a:noFill/>
            </a:ln>
            <a:effectLst/>
          </c:spPr>
          <c:invertIfNegative val="0"/>
          <c:cat>
            <c:strRef>
              <c:f>'order channel'!$A$4:$A$12</c:f>
              <c:strCache>
                <c:ptCount val="9"/>
                <c:pt idx="0">
                  <c:v>Amazon</c:v>
                </c:pt>
                <c:pt idx="1">
                  <c:v>others</c:v>
                </c:pt>
                <c:pt idx="2">
                  <c:v>Ajio</c:v>
                </c:pt>
                <c:pt idx="3">
                  <c:v>Meesho</c:v>
                </c:pt>
                <c:pt idx="4">
                  <c:v>Cliq</c:v>
                </c:pt>
                <c:pt idx="5">
                  <c:v>Nykaa fashion</c:v>
                </c:pt>
                <c:pt idx="6">
                  <c:v>Flipkart</c:v>
                </c:pt>
                <c:pt idx="7">
                  <c:v>Myntra</c:v>
                </c:pt>
                <c:pt idx="8">
                  <c:v>Snapdeal</c:v>
                </c:pt>
              </c:strCache>
            </c:strRef>
          </c:cat>
          <c:val>
            <c:numRef>
              <c:f>'order channel'!$B$4:$B$12</c:f>
              <c:numCache>
                <c:formatCode>General</c:formatCode>
                <c:ptCount val="9"/>
                <c:pt idx="0">
                  <c:v>55</c:v>
                </c:pt>
                <c:pt idx="1">
                  <c:v>49</c:v>
                </c:pt>
                <c:pt idx="2">
                  <c:v>39</c:v>
                </c:pt>
                <c:pt idx="3">
                  <c:v>34</c:v>
                </c:pt>
                <c:pt idx="4">
                  <c:v>30</c:v>
                </c:pt>
                <c:pt idx="5">
                  <c:v>29</c:v>
                </c:pt>
                <c:pt idx="6">
                  <c:v>28</c:v>
                </c:pt>
                <c:pt idx="7">
                  <c:v>19</c:v>
                </c:pt>
                <c:pt idx="8">
                  <c:v>17</c:v>
                </c:pt>
              </c:numCache>
            </c:numRef>
          </c:val>
          <c:extLst>
            <c:ext xmlns:c16="http://schemas.microsoft.com/office/drawing/2014/chart" uri="{C3380CC4-5D6E-409C-BE32-E72D297353CC}">
              <c16:uniqueId val="{00000000-F57C-47C9-97A7-C39374ABF499}"/>
            </c:ext>
          </c:extLst>
        </c:ser>
        <c:dLbls>
          <c:showLegendKey val="0"/>
          <c:showVal val="0"/>
          <c:showCatName val="0"/>
          <c:showSerName val="0"/>
          <c:showPercent val="0"/>
          <c:showBubbleSize val="0"/>
        </c:dLbls>
        <c:gapWidth val="150"/>
        <c:overlap val="100"/>
        <c:axId val="1374279455"/>
        <c:axId val="1374279935"/>
      </c:barChart>
      <c:catAx>
        <c:axId val="1374279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279935"/>
        <c:crosses val="autoZero"/>
        <c:auto val="1"/>
        <c:lblAlgn val="ctr"/>
        <c:lblOffset val="100"/>
        <c:noMultiLvlLbl val="0"/>
      </c:catAx>
      <c:valAx>
        <c:axId val="1374279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279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[Excelproject.xlsx]order status!PivotTable5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Status</a:t>
            </a:r>
            <a:endParaRPr lang="en-US"/>
          </a:p>
        </c:rich>
      </c:tx>
      <c:layout>
        <c:manualLayout>
          <c:xMode val="edge"/>
          <c:yMode val="edge"/>
          <c:x val="0.32999531943382926"/>
          <c:y val="7.444842909487799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dLbl>
          <c:idx val="0"/>
          <c:layout>
            <c:manualLayout>
              <c:x val="0.172927847346452"/>
              <c:y val="0.10275380189066988"/>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fld id="{9E5B0B5C-B5F3-4518-AE8A-0EE4FBBE82B4}" type="CATEGORYNAME">
                  <a:rPr lang="en-US" b="1">
                    <a:solidFill>
                      <a:schemeClr val="bg1"/>
                    </a:solidFill>
                  </a:rPr>
                  <a:pPr>
                    <a:defRPr sz="900" b="1" i="0" u="none" strike="noStrike" kern="1200" baseline="0">
                      <a:solidFill>
                        <a:schemeClr val="dk1">
                          <a:lumMod val="65000"/>
                          <a:lumOff val="35000"/>
                        </a:schemeClr>
                      </a:solidFill>
                      <a:latin typeface="+mn-lt"/>
                      <a:ea typeface="+mn-ea"/>
                      <a:cs typeface="+mn-cs"/>
                    </a:defRPr>
                  </a:pPr>
                  <a:t>[CATEGORY NAME]</a:t>
                </a:fld>
                <a:r>
                  <a:rPr lang="en-US" b="1" baseline="0">
                    <a:solidFill>
                      <a:schemeClr val="bg1"/>
                    </a:solidFill>
                  </a:rPr>
                  <a:t>, </a:t>
                </a:r>
                <a:fld id="{03637CCE-EA4A-43BA-A1FD-0FED7C3355FB}" type="PERCENTAGE">
                  <a:rPr lang="en-US" b="1" baseline="0">
                    <a:solidFill>
                      <a:schemeClr val="bg1"/>
                    </a:solidFill>
                  </a:rPr>
                  <a:pPr>
                    <a:defRPr sz="900" b="1" i="0" u="none" strike="noStrike" kern="1200" baseline="0">
                      <a:solidFill>
                        <a:schemeClr val="dk1">
                          <a:lumMod val="65000"/>
                          <a:lumOff val="35000"/>
                        </a:schemeClr>
                      </a:solidFill>
                      <a:latin typeface="+mn-lt"/>
                      <a:ea typeface="+mn-ea"/>
                      <a:cs typeface="+mn-cs"/>
                    </a:defRPr>
                  </a:pPr>
                  <a:t>[PERCENTAGE]</a:t>
                </a:fld>
                <a:endParaRPr lang="en-US" b="1"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solidFill>
            <a:schemeClr val="accent1"/>
          </a:solidFill>
          <a:ln w="25400">
            <a:solidFill>
              <a:schemeClr val="lt1"/>
            </a:solidFill>
          </a:ln>
          <a:effectLst/>
          <a:sp3d contourW="25400">
            <a:contourClr>
              <a:schemeClr val="lt1"/>
            </a:contourClr>
          </a:sp3d>
        </c:spPr>
        <c:dLbl>
          <c:idx val="0"/>
          <c:layout>
            <c:manualLayout>
              <c:x val="-1.7888980982640329E-2"/>
              <c:y val="6.972138592969996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25400">
            <a:solidFill>
              <a:schemeClr val="lt1"/>
            </a:solidFill>
          </a:ln>
          <a:effectLst/>
          <a:sp3d contourW="25400">
            <a:contourClr>
              <a:schemeClr val="lt1"/>
            </a:contourClr>
          </a:sp3d>
        </c:spPr>
        <c:dLbl>
          <c:idx val="0"/>
          <c:layout>
            <c:manualLayout>
              <c:x val="4.770423375074527E-2"/>
              <c:y val="-2.87710645293875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dLbl>
          <c:idx val="0"/>
          <c:layout>
            <c:manualLayout>
              <c:x val="-1.7888980982640329E-2"/>
              <c:y val="6.972138592969996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25400">
            <a:solidFill>
              <a:schemeClr val="lt1"/>
            </a:solidFill>
          </a:ln>
          <a:effectLst/>
          <a:sp3d contourW="25400">
            <a:contourClr>
              <a:schemeClr val="lt1"/>
            </a:contourClr>
          </a:sp3d>
        </c:spPr>
        <c:dLbl>
          <c:idx val="0"/>
          <c:layout>
            <c:manualLayout>
              <c:x val="0.172927847346452"/>
              <c:y val="0.10275380189066988"/>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fld id="{9E5B0B5C-B5F3-4518-AE8A-0EE4FBBE82B4}" type="CATEGORYNAME">
                  <a:rPr lang="en-US" b="1">
                    <a:solidFill>
                      <a:schemeClr val="bg1"/>
                    </a:solidFill>
                  </a:rPr>
                  <a:pPr>
                    <a:defRPr sz="900" b="1" i="0" u="none" strike="noStrike" kern="1200" baseline="0">
                      <a:solidFill>
                        <a:schemeClr val="dk1">
                          <a:lumMod val="65000"/>
                          <a:lumOff val="35000"/>
                        </a:schemeClr>
                      </a:solidFill>
                      <a:latin typeface="+mn-lt"/>
                      <a:ea typeface="+mn-ea"/>
                      <a:cs typeface="+mn-cs"/>
                    </a:defRPr>
                  </a:pPr>
                  <a:t>[CATEGORY NAME]</a:t>
                </a:fld>
                <a:r>
                  <a:rPr lang="en-US" b="1" baseline="0">
                    <a:solidFill>
                      <a:schemeClr val="bg1"/>
                    </a:solidFill>
                  </a:rPr>
                  <a:t>, </a:t>
                </a:r>
                <a:fld id="{03637CCE-EA4A-43BA-A1FD-0FED7C3355FB}" type="PERCENTAGE">
                  <a:rPr lang="en-US" b="1" baseline="0">
                    <a:solidFill>
                      <a:schemeClr val="bg1"/>
                    </a:solidFill>
                  </a:rPr>
                  <a:pPr>
                    <a:defRPr sz="900" b="1" i="0" u="none" strike="noStrike" kern="1200" baseline="0">
                      <a:solidFill>
                        <a:schemeClr val="dk1">
                          <a:lumMod val="65000"/>
                          <a:lumOff val="35000"/>
                        </a:schemeClr>
                      </a:solidFill>
                      <a:latin typeface="+mn-lt"/>
                      <a:ea typeface="+mn-ea"/>
                      <a:cs typeface="+mn-cs"/>
                    </a:defRPr>
                  </a:pPr>
                  <a:t>[PERCENTAGE]</a:t>
                </a:fld>
                <a:endParaRPr lang="en-US" b="1"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7"/>
        <c:spPr>
          <a:solidFill>
            <a:schemeClr val="accent1"/>
          </a:solidFill>
          <a:ln w="25400">
            <a:solidFill>
              <a:schemeClr val="lt1"/>
            </a:solidFill>
          </a:ln>
          <a:effectLst/>
          <a:sp3d contourW="25400">
            <a:contourClr>
              <a:schemeClr val="lt1"/>
            </a:contourClr>
          </a:sp3d>
        </c:spPr>
        <c:dLbl>
          <c:idx val="0"/>
          <c:layout>
            <c:manualLayout>
              <c:x val="4.770423375074527E-2"/>
              <c:y val="-2.87710645293875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25400">
            <a:solidFill>
              <a:schemeClr val="lt1"/>
            </a:solidFill>
          </a:ln>
          <a:effectLst/>
          <a:sp3d contourW="25400">
            <a:contourClr>
              <a:schemeClr val="lt1"/>
            </a:contourClr>
          </a:sp3d>
        </c:spPr>
        <c:dLbl>
          <c:idx val="0"/>
          <c:layout>
            <c:manualLayout>
              <c:x val="-3.9513754347298147E-2"/>
              <c:y val="1.089412090815380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25400">
            <a:solidFill>
              <a:schemeClr val="lt1"/>
            </a:solidFill>
          </a:ln>
          <a:effectLst/>
          <a:sp3d contourW="25400">
            <a:contourClr>
              <a:schemeClr val="lt1"/>
            </a:contourClr>
          </a:sp3d>
        </c:spPr>
        <c:dLbl>
          <c:idx val="0"/>
          <c:layout>
            <c:manualLayout>
              <c:x val="0.11314984709480122"/>
              <c:y val="0.16720604099244876"/>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25400">
            <a:solidFill>
              <a:schemeClr val="lt1"/>
            </a:solidFill>
          </a:ln>
          <a:effectLst/>
          <a:sp3d contourW="25400">
            <a:contourClr>
              <a:schemeClr val="lt1"/>
            </a:contourClr>
          </a:sp3d>
        </c:spPr>
        <c:dLbl>
          <c:idx val="0"/>
          <c:layout>
            <c:manualLayout>
              <c:x val="6.6332509790677827E-2"/>
              <c:y val="-3.839687118318130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15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214073692255737"/>
          <c:y val="0.21904186481640289"/>
          <c:w val="0.79829176687642078"/>
          <c:h val="0.62841792053221068"/>
        </c:manualLayout>
      </c:layout>
      <c:pie3DChart>
        <c:varyColors val="1"/>
        <c:ser>
          <c:idx val="0"/>
          <c:order val="0"/>
          <c:tx>
            <c:strRef>
              <c:f>'order status'!$B$3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6BDE-44AA-BEF5-7B8C06B1463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6BDE-44AA-BEF5-7B8C06B1463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6BDE-44AA-BEF5-7B8C06B14632}"/>
              </c:ext>
            </c:extLst>
          </c:dPt>
          <c:dLbls>
            <c:dLbl>
              <c:idx val="0"/>
              <c:layout>
                <c:manualLayout>
                  <c:x val="-3.9513754347298147E-2"/>
                  <c:y val="1.089412090815380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BDE-44AA-BEF5-7B8C06B14632}"/>
                </c:ext>
              </c:extLst>
            </c:dLbl>
            <c:dLbl>
              <c:idx val="1"/>
              <c:layout>
                <c:manualLayout>
                  <c:x val="0.11314984709480122"/>
                  <c:y val="0.16720604099244876"/>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6BDE-44AA-BEF5-7B8C06B14632}"/>
                </c:ext>
              </c:extLst>
            </c:dLbl>
            <c:dLbl>
              <c:idx val="2"/>
              <c:layout>
                <c:manualLayout>
                  <c:x val="6.6332509790677827E-2"/>
                  <c:y val="-3.839687118318130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BDE-44AA-BEF5-7B8C06B14632}"/>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'order status'!$A$4:$A$6</c:f>
              <c:strCache>
                <c:ptCount val="3"/>
                <c:pt idx="0">
                  <c:v>cancelled</c:v>
                </c:pt>
                <c:pt idx="1">
                  <c:v>delivered</c:v>
                </c:pt>
                <c:pt idx="2">
                  <c:v>returned</c:v>
                </c:pt>
              </c:strCache>
            </c:strRef>
          </c:cat>
          <c:val>
            <c:numRef>
              <c:f>'order status'!$B$4:$B$6</c:f>
              <c:numCache>
                <c:formatCode>General</c:formatCode>
                <c:ptCount val="3"/>
                <c:pt idx="0">
                  <c:v>8</c:v>
                </c:pt>
                <c:pt idx="1">
                  <c:v>282</c:v>
                </c:pt>
                <c:pt idx="2">
                  <c:v>10</c:v>
                </c:pt>
              </c:numCache>
            </c:numRef>
          </c:val>
          <c:extLst>
            <c:ext xmlns:c16="http://schemas.microsoft.com/office/drawing/2014/chart" uri="{C3380CC4-5D6E-409C-BE32-E72D297353CC}">
              <c16:uniqueId val="{00000006-6BDE-44AA-BEF5-7B8C06B14632}"/>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[Excelproject.xlsx]categoryquantity!PivotTable1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quantity</a:t>
            </a:r>
            <a:r>
              <a:rPr lang="en-IN" baseline="0"/>
              <a:t> category wise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692038495188118E-2"/>
          <c:y val="0.24476633129192185"/>
          <c:w val="0.78645603674540687"/>
          <c:h val="0.43576990376202973"/>
        </c:manualLayout>
      </c:layout>
      <c:barChart>
        <c:barDir val="col"/>
        <c:grouping val="clustered"/>
        <c:varyColors val="0"/>
        <c:ser>
          <c:idx val="0"/>
          <c:order val="0"/>
          <c:tx>
            <c:strRef>
              <c:f>categoryquantity!$B$3</c:f>
              <c:strCache>
                <c:ptCount val="1"/>
                <c:pt idx="0">
                  <c:v>Total</c:v>
                </c:pt>
              </c:strCache>
            </c:strRef>
          </c:tx>
          <c:spPr>
            <a:solidFill>
              <a:schemeClr val="accent2"/>
            </a:solidFill>
            <a:ln>
              <a:noFill/>
            </a:ln>
            <a:effectLst/>
          </c:spPr>
          <c:invertIfNegative val="0"/>
          <c:cat>
            <c:strRef>
              <c:f>categoryquantity!$A$4:$A$20</c:f>
              <c:strCache>
                <c:ptCount val="16"/>
                <c:pt idx="0">
                  <c:v>Blouse</c:v>
                </c:pt>
                <c:pt idx="1">
                  <c:v>camisoles</c:v>
                </c:pt>
                <c:pt idx="2">
                  <c:v>crop top</c:v>
                </c:pt>
                <c:pt idx="3">
                  <c:v>gown</c:v>
                </c:pt>
                <c:pt idx="4">
                  <c:v>jeans</c:v>
                </c:pt>
                <c:pt idx="5">
                  <c:v>joggers</c:v>
                </c:pt>
                <c:pt idx="6">
                  <c:v>kurta set</c:v>
                </c:pt>
                <c:pt idx="7">
                  <c:v>kurti</c:v>
                </c:pt>
                <c:pt idx="8">
                  <c:v>leggings</c:v>
                </c:pt>
                <c:pt idx="9">
                  <c:v>polo shirt</c:v>
                </c:pt>
                <c:pt idx="10">
                  <c:v>saree</c:v>
                </c:pt>
                <c:pt idx="11">
                  <c:v>shirts</c:v>
                </c:pt>
                <c:pt idx="12">
                  <c:v>shorts</c:v>
                </c:pt>
                <c:pt idx="13">
                  <c:v>Tank top</c:v>
                </c:pt>
                <c:pt idx="14">
                  <c:v>trousers</c:v>
                </c:pt>
                <c:pt idx="15">
                  <c:v>T-shirts</c:v>
                </c:pt>
              </c:strCache>
            </c:strRef>
          </c:cat>
          <c:val>
            <c:numRef>
              <c:f>categoryquantity!$B$4:$B$20</c:f>
              <c:numCache>
                <c:formatCode>General</c:formatCode>
                <c:ptCount val="16"/>
                <c:pt idx="0">
                  <c:v>22</c:v>
                </c:pt>
                <c:pt idx="1">
                  <c:v>13</c:v>
                </c:pt>
                <c:pt idx="2">
                  <c:v>20</c:v>
                </c:pt>
                <c:pt idx="3">
                  <c:v>11</c:v>
                </c:pt>
                <c:pt idx="4">
                  <c:v>41</c:v>
                </c:pt>
                <c:pt idx="5">
                  <c:v>48</c:v>
                </c:pt>
                <c:pt idx="6">
                  <c:v>10</c:v>
                </c:pt>
                <c:pt idx="7">
                  <c:v>30</c:v>
                </c:pt>
                <c:pt idx="8">
                  <c:v>5</c:v>
                </c:pt>
                <c:pt idx="9">
                  <c:v>38</c:v>
                </c:pt>
                <c:pt idx="10">
                  <c:v>24</c:v>
                </c:pt>
                <c:pt idx="11">
                  <c:v>3</c:v>
                </c:pt>
                <c:pt idx="12">
                  <c:v>21</c:v>
                </c:pt>
                <c:pt idx="13">
                  <c:v>22</c:v>
                </c:pt>
                <c:pt idx="14">
                  <c:v>25</c:v>
                </c:pt>
                <c:pt idx="15">
                  <c:v>39</c:v>
                </c:pt>
              </c:numCache>
            </c:numRef>
          </c:val>
          <c:extLst>
            <c:ext xmlns:c16="http://schemas.microsoft.com/office/drawing/2014/chart" uri="{C3380CC4-5D6E-409C-BE32-E72D297353CC}">
              <c16:uniqueId val="{00000000-FD2D-476B-BDD3-9BDDFE5341D6}"/>
            </c:ext>
          </c:extLst>
        </c:ser>
        <c:dLbls>
          <c:showLegendKey val="0"/>
          <c:showVal val="0"/>
          <c:showCatName val="0"/>
          <c:showSerName val="0"/>
          <c:showPercent val="0"/>
          <c:showBubbleSize val="0"/>
        </c:dLbls>
        <c:gapWidth val="219"/>
        <c:overlap val="-27"/>
        <c:axId val="957836240"/>
        <c:axId val="957835280"/>
      </c:barChart>
      <c:catAx>
        <c:axId val="957836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835280"/>
        <c:crosses val="autoZero"/>
        <c:auto val="1"/>
        <c:lblAlgn val="ctr"/>
        <c:lblOffset val="100"/>
        <c:noMultiLvlLbl val="0"/>
      </c:catAx>
      <c:valAx>
        <c:axId val="957835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836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[Excelproject.xlsx]sales citywise!PivotTable4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Sales:City</a:t>
            </a:r>
            <a:r>
              <a:rPr lang="en-IN" baseline="0"/>
              <a:t> wise</a:t>
            </a:r>
          </a:p>
        </c:rich>
      </c:tx>
      <c:layout>
        <c:manualLayout>
          <c:xMode val="edge"/>
          <c:yMode val="edge"/>
          <c:x val="0.36422910239976714"/>
          <c:y val="5.933117583603020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'sales citywise'!$B$3</c:f>
              <c:strCache>
                <c:ptCount val="1"/>
                <c:pt idx="0">
                  <c:v>Total</c:v>
                </c:pt>
              </c:strCache>
            </c:strRef>
          </c:tx>
          <c:spPr>
            <a:solidFill>
              <a:schemeClr val="accent1"/>
            </a:solidFill>
            <a:ln>
              <a:noFill/>
            </a:ln>
            <a:effectLst/>
            <a:sp3d/>
          </c:spPr>
          <c:invertIfNegative val="0"/>
          <c:cat>
            <c:strRef>
              <c:f>'sales citywise'!$A$4:$A$20</c:f>
              <c:strCache>
                <c:ptCount val="16"/>
                <c:pt idx="0">
                  <c:v>ahmedabad</c:v>
                </c:pt>
                <c:pt idx="1">
                  <c:v>Ajmer</c:v>
                </c:pt>
                <c:pt idx="2">
                  <c:v>amritsar</c:v>
                </c:pt>
                <c:pt idx="3">
                  <c:v>bhopal</c:v>
                </c:pt>
                <c:pt idx="4">
                  <c:v>chandigarh</c:v>
                </c:pt>
                <c:pt idx="5">
                  <c:v>Delhi</c:v>
                </c:pt>
                <c:pt idx="6">
                  <c:v>dewas</c:v>
                </c:pt>
                <c:pt idx="7">
                  <c:v>gwalior</c:v>
                </c:pt>
                <c:pt idx="8">
                  <c:v>Indore</c:v>
                </c:pt>
                <c:pt idx="9">
                  <c:v>Jaipur</c:v>
                </c:pt>
                <c:pt idx="10">
                  <c:v>Mumbai</c:v>
                </c:pt>
                <c:pt idx="11">
                  <c:v>nagpur</c:v>
                </c:pt>
                <c:pt idx="12">
                  <c:v>pune</c:v>
                </c:pt>
                <c:pt idx="13">
                  <c:v>shimla</c:v>
                </c:pt>
                <c:pt idx="14">
                  <c:v>surat</c:v>
                </c:pt>
                <c:pt idx="15">
                  <c:v>Ujjain</c:v>
                </c:pt>
              </c:strCache>
            </c:strRef>
          </c:cat>
          <c:val>
            <c:numRef>
              <c:f>'sales citywise'!$B$4:$B$20</c:f>
              <c:numCache>
                <c:formatCode>General</c:formatCode>
                <c:ptCount val="16"/>
                <c:pt idx="0">
                  <c:v>1160</c:v>
                </c:pt>
                <c:pt idx="1">
                  <c:v>12465</c:v>
                </c:pt>
                <c:pt idx="2">
                  <c:v>1250</c:v>
                </c:pt>
                <c:pt idx="3">
                  <c:v>27867</c:v>
                </c:pt>
                <c:pt idx="4">
                  <c:v>2515</c:v>
                </c:pt>
                <c:pt idx="5">
                  <c:v>32623</c:v>
                </c:pt>
                <c:pt idx="6">
                  <c:v>14618</c:v>
                </c:pt>
                <c:pt idx="7">
                  <c:v>16124</c:v>
                </c:pt>
                <c:pt idx="8">
                  <c:v>51069</c:v>
                </c:pt>
                <c:pt idx="9">
                  <c:v>8438</c:v>
                </c:pt>
                <c:pt idx="10">
                  <c:v>52564</c:v>
                </c:pt>
                <c:pt idx="11">
                  <c:v>1036</c:v>
                </c:pt>
                <c:pt idx="12">
                  <c:v>38520</c:v>
                </c:pt>
                <c:pt idx="13">
                  <c:v>3025</c:v>
                </c:pt>
                <c:pt idx="14">
                  <c:v>39969</c:v>
                </c:pt>
                <c:pt idx="15">
                  <c:v>17696</c:v>
                </c:pt>
              </c:numCache>
            </c:numRef>
          </c:val>
          <c:extLst>
            <c:ext xmlns:c16="http://schemas.microsoft.com/office/drawing/2014/chart" uri="{C3380CC4-5D6E-409C-BE32-E72D297353CC}">
              <c16:uniqueId val="{00000000-7AB7-4C4E-8FA5-17237D336A3F}"/>
            </c:ext>
          </c:extLst>
        </c:ser>
        <c:dLbls>
          <c:showLegendKey val="0"/>
          <c:showVal val="0"/>
          <c:showCatName val="0"/>
          <c:showSerName val="0"/>
          <c:showPercent val="0"/>
          <c:showBubbleSize val="0"/>
        </c:dLbls>
        <c:gapWidth val="150"/>
        <c:shape val="box"/>
        <c:axId val="374432016"/>
        <c:axId val="374428656"/>
        <c:axId val="0"/>
      </c:bar3DChart>
      <c:catAx>
        <c:axId val="3744320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428656"/>
        <c:crosses val="autoZero"/>
        <c:auto val="1"/>
        <c:lblAlgn val="ctr"/>
        <c:lblOffset val="100"/>
        <c:noMultiLvlLbl val="0"/>
      </c:catAx>
      <c:valAx>
        <c:axId val="374428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432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[Excelproject.xlsx]order status!PivotTable5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Status</a:t>
            </a:r>
            <a:endParaRPr lang="en-US"/>
          </a:p>
        </c:rich>
      </c:tx>
      <c:layout>
        <c:manualLayout>
          <c:xMode val="edge"/>
          <c:yMode val="edge"/>
          <c:x val="0.38687848229497629"/>
          <c:y val="6.94444444444444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dLbl>
          <c:idx val="0"/>
          <c:layout>
            <c:manualLayout>
              <c:x val="0.172927847346452"/>
              <c:y val="0.10275380189066988"/>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fld id="{9E5B0B5C-B5F3-4518-AE8A-0EE4FBBE82B4}" type="CATEGORYNAME">
                  <a:rPr lang="en-US" b="1">
                    <a:solidFill>
                      <a:schemeClr val="bg1"/>
                    </a:solidFill>
                  </a:rPr>
                  <a:pPr>
                    <a:defRPr b="1"/>
                  </a:pPr>
                  <a:t>[CATEGORY NAME]</a:t>
                </a:fld>
                <a:r>
                  <a:rPr lang="en-US" b="1" baseline="0">
                    <a:solidFill>
                      <a:schemeClr val="bg1"/>
                    </a:solidFill>
                  </a:rPr>
                  <a:t>, </a:t>
                </a:r>
                <a:fld id="{03637CCE-EA4A-43BA-A1FD-0FED7C3355FB}" type="PERCENTAGE">
                  <a:rPr lang="en-US" b="1" baseline="0">
                    <a:solidFill>
                      <a:schemeClr val="bg1"/>
                    </a:solidFill>
                  </a:rPr>
                  <a:pPr>
                    <a:defRPr b="1"/>
                  </a:pPr>
                  <a:t>[PERCENTAGE]</a:t>
                </a:fld>
                <a:endParaRPr lang="en-US" b="1"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solidFill>
            <a:schemeClr val="accent1"/>
          </a:solidFill>
          <a:ln w="25400">
            <a:solidFill>
              <a:schemeClr val="lt1"/>
            </a:solidFill>
          </a:ln>
          <a:effectLst/>
          <a:sp3d contourW="25400">
            <a:contourClr>
              <a:schemeClr val="lt1"/>
            </a:contourClr>
          </a:sp3d>
        </c:spPr>
        <c:dLbl>
          <c:idx val="0"/>
          <c:layout>
            <c:manualLayout>
              <c:x val="-1.7888980982640329E-2"/>
              <c:y val="6.972138592969996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25400">
            <a:solidFill>
              <a:schemeClr val="lt1"/>
            </a:solidFill>
          </a:ln>
          <a:effectLst/>
          <a:sp3d contourW="25400">
            <a:contourClr>
              <a:schemeClr val="lt1"/>
            </a:contourClr>
          </a:sp3d>
        </c:spPr>
        <c:dLbl>
          <c:idx val="0"/>
          <c:layout>
            <c:manualLayout>
              <c:x val="4.770423375074527E-2"/>
              <c:y val="-2.87710645293875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15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'order status'!$B$3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3-01EE-48BF-99DF-893376D1BB2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2-01EE-48BF-99DF-893376D1BB2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4-01EE-48BF-99DF-893376D1BB28}"/>
              </c:ext>
            </c:extLst>
          </c:dPt>
          <c:dLbls>
            <c:dLbl>
              <c:idx val="0"/>
              <c:layout>
                <c:manualLayout>
                  <c:x val="-1.7888980982640329E-2"/>
                  <c:y val="6.972138592969996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01EE-48BF-99DF-893376D1BB28}"/>
                </c:ext>
              </c:extLst>
            </c:dLbl>
            <c:dLbl>
              <c:idx val="1"/>
              <c:layout>
                <c:manualLayout>
                  <c:x val="0.172927847346452"/>
                  <c:y val="0.10275380189066988"/>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fld id="{9E5B0B5C-B5F3-4518-AE8A-0EE4FBBE82B4}" type="CATEGORYNAME">
                      <a:rPr lang="en-US" b="1">
                        <a:solidFill>
                          <a:schemeClr val="bg1"/>
                        </a:solidFill>
                      </a:rPr>
                      <a:pPr>
                        <a:defRPr b="1"/>
                      </a:pPr>
                      <a:t>[CATEGORY NAME]</a:t>
                    </a:fld>
                    <a:r>
                      <a:rPr lang="en-US" b="1" baseline="0">
                        <a:solidFill>
                          <a:schemeClr val="bg1"/>
                        </a:solidFill>
                      </a:rPr>
                      <a:t>, </a:t>
                    </a:r>
                    <a:fld id="{03637CCE-EA4A-43BA-A1FD-0FED7C3355FB}" type="PERCENTAGE">
                      <a:rPr lang="en-US" b="1" baseline="0">
                        <a:solidFill>
                          <a:schemeClr val="bg1"/>
                        </a:solidFill>
                      </a:rPr>
                      <a:pPr>
                        <a:defRPr b="1"/>
                      </a:pPr>
                      <a:t>[PERCENTAGE]</a:t>
                    </a:fld>
                    <a:endParaRPr lang="en-US" b="1"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2-01EE-48BF-99DF-893376D1BB28}"/>
                </c:ext>
              </c:extLst>
            </c:dLbl>
            <c:dLbl>
              <c:idx val="2"/>
              <c:layout>
                <c:manualLayout>
                  <c:x val="4.770423375074527E-2"/>
                  <c:y val="-2.87710645293875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4-01EE-48BF-99DF-893376D1BB2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'order status'!$A$4:$A$6</c:f>
              <c:strCache>
                <c:ptCount val="3"/>
                <c:pt idx="0">
                  <c:v>cancelled</c:v>
                </c:pt>
                <c:pt idx="1">
                  <c:v>delivered</c:v>
                </c:pt>
                <c:pt idx="2">
                  <c:v>returned</c:v>
                </c:pt>
              </c:strCache>
            </c:strRef>
          </c:cat>
          <c:val>
            <c:numRef>
              <c:f>'order status'!$B$4:$B$6</c:f>
              <c:numCache>
                <c:formatCode>General</c:formatCode>
                <c:ptCount val="3"/>
                <c:pt idx="0">
                  <c:v>8</c:v>
                </c:pt>
                <c:pt idx="1">
                  <c:v>282</c:v>
                </c:pt>
                <c:pt idx="2">
                  <c:v>10</c:v>
                </c:pt>
              </c:numCache>
            </c:numRef>
          </c:val>
          <c:extLst>
            <c:ext xmlns:c16="http://schemas.microsoft.com/office/drawing/2014/chart" uri="{C3380CC4-5D6E-409C-BE32-E72D297353CC}">
              <c16:uniqueId val="{00000000-01EE-48BF-99DF-893376D1BB28}"/>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79470276412228436"/>
          <c:y val="0.18955018107323515"/>
          <c:w val="0.15461148751754869"/>
          <c:h val="0.267796473036431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[Excelproject.xlsx]order channel!PivotTable1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'order channel'!$B$3</c:f>
              <c:strCache>
                <c:ptCount val="1"/>
                <c:pt idx="0">
                  <c:v>Total</c:v>
                </c:pt>
              </c:strCache>
            </c:strRef>
          </c:tx>
          <c:spPr>
            <a:solidFill>
              <a:schemeClr val="accent1"/>
            </a:solidFill>
            <a:ln>
              <a:noFill/>
            </a:ln>
            <a:effectLst/>
          </c:spPr>
          <c:invertIfNegative val="0"/>
          <c:cat>
            <c:strRef>
              <c:f>'order channel'!$A$4:$A$12</c:f>
              <c:strCache>
                <c:ptCount val="9"/>
                <c:pt idx="0">
                  <c:v>Amazon</c:v>
                </c:pt>
                <c:pt idx="1">
                  <c:v>others</c:v>
                </c:pt>
                <c:pt idx="2">
                  <c:v>Ajio</c:v>
                </c:pt>
                <c:pt idx="3">
                  <c:v>Meesho</c:v>
                </c:pt>
                <c:pt idx="4">
                  <c:v>Cliq</c:v>
                </c:pt>
                <c:pt idx="5">
                  <c:v>Nykaa fashion</c:v>
                </c:pt>
                <c:pt idx="6">
                  <c:v>Flipkart</c:v>
                </c:pt>
                <c:pt idx="7">
                  <c:v>Myntra</c:v>
                </c:pt>
                <c:pt idx="8">
                  <c:v>Snapdeal</c:v>
                </c:pt>
              </c:strCache>
            </c:strRef>
          </c:cat>
          <c:val>
            <c:numRef>
              <c:f>'order channel'!$B$4:$B$12</c:f>
              <c:numCache>
                <c:formatCode>General</c:formatCode>
                <c:ptCount val="9"/>
                <c:pt idx="0">
                  <c:v>55</c:v>
                </c:pt>
                <c:pt idx="1">
                  <c:v>49</c:v>
                </c:pt>
                <c:pt idx="2">
                  <c:v>39</c:v>
                </c:pt>
                <c:pt idx="3">
                  <c:v>34</c:v>
                </c:pt>
                <c:pt idx="4">
                  <c:v>30</c:v>
                </c:pt>
                <c:pt idx="5">
                  <c:v>29</c:v>
                </c:pt>
                <c:pt idx="6">
                  <c:v>28</c:v>
                </c:pt>
                <c:pt idx="7">
                  <c:v>19</c:v>
                </c:pt>
                <c:pt idx="8">
                  <c:v>17</c:v>
                </c:pt>
              </c:numCache>
            </c:numRef>
          </c:val>
          <c:extLst>
            <c:ext xmlns:c16="http://schemas.microsoft.com/office/drawing/2014/chart" uri="{C3380CC4-5D6E-409C-BE32-E72D297353CC}">
              <c16:uniqueId val="{00000000-FC94-4D10-ACB3-CD2B2E975C06}"/>
            </c:ext>
          </c:extLst>
        </c:ser>
        <c:dLbls>
          <c:showLegendKey val="0"/>
          <c:showVal val="0"/>
          <c:showCatName val="0"/>
          <c:showSerName val="0"/>
          <c:showPercent val="0"/>
          <c:showBubbleSize val="0"/>
        </c:dLbls>
        <c:gapWidth val="150"/>
        <c:overlap val="100"/>
        <c:axId val="1374279455"/>
        <c:axId val="1374279935"/>
      </c:barChart>
      <c:catAx>
        <c:axId val="1374279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279935"/>
        <c:crosses val="autoZero"/>
        <c:auto val="1"/>
        <c:lblAlgn val="ctr"/>
        <c:lblOffset val="100"/>
        <c:noMultiLvlLbl val="0"/>
      </c:catAx>
      <c:valAx>
        <c:axId val="1374279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279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[Excelproject.xlsx]categoryquantity!PivotTable1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quantity</a:t>
            </a:r>
            <a:r>
              <a:rPr lang="en-IN" baseline="0"/>
              <a:t> category wise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692038495188118E-2"/>
          <c:y val="0.24476633129192185"/>
          <c:w val="0.78645603674540687"/>
          <c:h val="0.43576990376202973"/>
        </c:manualLayout>
      </c:layout>
      <c:barChart>
        <c:barDir val="col"/>
        <c:grouping val="clustered"/>
        <c:varyColors val="0"/>
        <c:ser>
          <c:idx val="0"/>
          <c:order val="0"/>
          <c:tx>
            <c:strRef>
              <c:f>categoryquantity!$B$3</c:f>
              <c:strCache>
                <c:ptCount val="1"/>
                <c:pt idx="0">
                  <c:v>Total</c:v>
                </c:pt>
              </c:strCache>
            </c:strRef>
          </c:tx>
          <c:spPr>
            <a:solidFill>
              <a:schemeClr val="accent1"/>
            </a:solidFill>
            <a:ln>
              <a:noFill/>
            </a:ln>
            <a:effectLst/>
          </c:spPr>
          <c:invertIfNegative val="0"/>
          <c:cat>
            <c:strRef>
              <c:f>categoryquantity!$A$4:$A$20</c:f>
              <c:strCache>
                <c:ptCount val="16"/>
                <c:pt idx="0">
                  <c:v>Blouse</c:v>
                </c:pt>
                <c:pt idx="1">
                  <c:v>camisoles</c:v>
                </c:pt>
                <c:pt idx="2">
                  <c:v>crop top</c:v>
                </c:pt>
                <c:pt idx="3">
                  <c:v>gown</c:v>
                </c:pt>
                <c:pt idx="4">
                  <c:v>jeans</c:v>
                </c:pt>
                <c:pt idx="5">
                  <c:v>joggers</c:v>
                </c:pt>
                <c:pt idx="6">
                  <c:v>kurta set</c:v>
                </c:pt>
                <c:pt idx="7">
                  <c:v>kurti</c:v>
                </c:pt>
                <c:pt idx="8">
                  <c:v>leggings</c:v>
                </c:pt>
                <c:pt idx="9">
                  <c:v>polo shirt</c:v>
                </c:pt>
                <c:pt idx="10">
                  <c:v>saree</c:v>
                </c:pt>
                <c:pt idx="11">
                  <c:v>shirts</c:v>
                </c:pt>
                <c:pt idx="12">
                  <c:v>shorts</c:v>
                </c:pt>
                <c:pt idx="13">
                  <c:v>Tank top</c:v>
                </c:pt>
                <c:pt idx="14">
                  <c:v>trousers</c:v>
                </c:pt>
                <c:pt idx="15">
                  <c:v>T-shirts</c:v>
                </c:pt>
              </c:strCache>
            </c:strRef>
          </c:cat>
          <c:val>
            <c:numRef>
              <c:f>categoryquantity!$B$4:$B$20</c:f>
              <c:numCache>
                <c:formatCode>General</c:formatCode>
                <c:ptCount val="16"/>
                <c:pt idx="0">
                  <c:v>22</c:v>
                </c:pt>
                <c:pt idx="1">
                  <c:v>13</c:v>
                </c:pt>
                <c:pt idx="2">
                  <c:v>20</c:v>
                </c:pt>
                <c:pt idx="3">
                  <c:v>11</c:v>
                </c:pt>
                <c:pt idx="4">
                  <c:v>41</c:v>
                </c:pt>
                <c:pt idx="5">
                  <c:v>48</c:v>
                </c:pt>
                <c:pt idx="6">
                  <c:v>10</c:v>
                </c:pt>
                <c:pt idx="7">
                  <c:v>30</c:v>
                </c:pt>
                <c:pt idx="8">
                  <c:v>5</c:v>
                </c:pt>
                <c:pt idx="9">
                  <c:v>38</c:v>
                </c:pt>
                <c:pt idx="10">
                  <c:v>24</c:v>
                </c:pt>
                <c:pt idx="11">
                  <c:v>3</c:v>
                </c:pt>
                <c:pt idx="12">
                  <c:v>21</c:v>
                </c:pt>
                <c:pt idx="13">
                  <c:v>22</c:v>
                </c:pt>
                <c:pt idx="14">
                  <c:v>25</c:v>
                </c:pt>
                <c:pt idx="15">
                  <c:v>39</c:v>
                </c:pt>
              </c:numCache>
            </c:numRef>
          </c:val>
          <c:extLst>
            <c:ext xmlns:c16="http://schemas.microsoft.com/office/drawing/2014/chart" uri="{C3380CC4-5D6E-409C-BE32-E72D297353CC}">
              <c16:uniqueId val="{00000000-255B-4E3E-9E7B-82D5CE5F33EC}"/>
            </c:ext>
          </c:extLst>
        </c:ser>
        <c:dLbls>
          <c:showLegendKey val="0"/>
          <c:showVal val="0"/>
          <c:showCatName val="0"/>
          <c:showSerName val="0"/>
          <c:showPercent val="0"/>
          <c:showBubbleSize val="0"/>
        </c:dLbls>
        <c:gapWidth val="219"/>
        <c:overlap val="-27"/>
        <c:axId val="957836240"/>
        <c:axId val="957835280"/>
      </c:barChart>
      <c:catAx>
        <c:axId val="957836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835280"/>
        <c:crosses val="autoZero"/>
        <c:auto val="1"/>
        <c:lblAlgn val="ctr"/>
        <c:lblOffset val="100"/>
        <c:noMultiLvlLbl val="0"/>
      </c:catAx>
      <c:valAx>
        <c:axId val="957835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836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2">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Reversed" id="22">
  <a:schemeClr val="accent2"/>
</cs:colorStyle>
</file>

<file path=xl/charts/colors7.xml><?xml version="1.0" encoding="utf-8"?>
<cs:colorStyle xmlns:cs="http://schemas.microsoft.com/office/drawing/2012/chartStyle" xmlns:a="http://schemas.openxmlformats.org/drawingml/2006/main" meth="withinLinearReversed" id="22">
  <a:schemeClr val="accent2"/>
</cs:colorStyle>
</file>

<file path=xl/charts/colors8.xml><?xml version="1.0" encoding="utf-8"?>
<cs:colorStyle xmlns:cs="http://schemas.microsoft.com/office/drawing/2012/chartStyle" xmlns:a="http://schemas.openxmlformats.org/drawingml/2006/main" meth="withinLinearReversed" id="22">
  <a:schemeClr val="accent2"/>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7" Type="http://schemas.openxmlformats.org/officeDocument/2006/relationships/chart" Target="../charts/chart10.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102870</xdr:rowOff>
    </xdr:from>
    <xdr:to>
      <xdr:col>11</xdr:col>
      <xdr:colOff>304800</xdr:colOff>
      <xdr:row>16</xdr:row>
      <xdr:rowOff>102870</xdr:rowOff>
    </xdr:to>
    <xdr:graphicFrame macro="">
      <xdr:nvGraphicFramePr>
        <xdr:cNvPr id="2" name="Chart 1">
          <a:extLst>
            <a:ext uri="{FF2B5EF4-FFF2-40B4-BE49-F238E27FC236}">
              <a16:creationId xmlns:a16="http://schemas.microsoft.com/office/drawing/2014/main" id="{59BA9189-7277-63B1-3F74-148899CC3C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152400</xdr:colOff>
      <xdr:row>1</xdr:row>
      <xdr:rowOff>129540</xdr:rowOff>
    </xdr:from>
    <xdr:to>
      <xdr:col>8</xdr:col>
      <xdr:colOff>304800</xdr:colOff>
      <xdr:row>17</xdr:row>
      <xdr:rowOff>53340</xdr:rowOff>
    </xdr:to>
    <xdr:graphicFrame macro="">
      <xdr:nvGraphicFramePr>
        <xdr:cNvPr id="2" name="Chart 1">
          <a:extLst>
            <a:ext uri="{FF2B5EF4-FFF2-40B4-BE49-F238E27FC236}">
              <a16:creationId xmlns:a16="http://schemas.microsoft.com/office/drawing/2014/main" id="{B91872F1-C95B-50FE-F801-FCAF431A4B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601980</xdr:colOff>
      <xdr:row>0</xdr:row>
      <xdr:rowOff>129540</xdr:rowOff>
    </xdr:from>
    <xdr:to>
      <xdr:col>9</xdr:col>
      <xdr:colOff>137160</xdr:colOff>
      <xdr:row>12</xdr:row>
      <xdr:rowOff>41910</xdr:rowOff>
    </xdr:to>
    <xdr:graphicFrame macro="">
      <xdr:nvGraphicFramePr>
        <xdr:cNvPr id="3" name="Chart 2">
          <a:extLst>
            <a:ext uri="{FF2B5EF4-FFF2-40B4-BE49-F238E27FC236}">
              <a16:creationId xmlns:a16="http://schemas.microsoft.com/office/drawing/2014/main" id="{A3356DCE-96A1-9C5B-7D3A-415E671971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243840</xdr:colOff>
      <xdr:row>1</xdr:row>
      <xdr:rowOff>91440</xdr:rowOff>
    </xdr:from>
    <xdr:to>
      <xdr:col>9</xdr:col>
      <xdr:colOff>198120</xdr:colOff>
      <xdr:row>12</xdr:row>
      <xdr:rowOff>152400</xdr:rowOff>
    </xdr:to>
    <xdr:graphicFrame macro="">
      <xdr:nvGraphicFramePr>
        <xdr:cNvPr id="2" name="Chart 1">
          <a:extLst>
            <a:ext uri="{FF2B5EF4-FFF2-40B4-BE49-F238E27FC236}">
              <a16:creationId xmlns:a16="http://schemas.microsoft.com/office/drawing/2014/main" id="{9FF84AAF-5D73-41C2-8429-A7B23ACC53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190500</xdr:colOff>
      <xdr:row>1</xdr:row>
      <xdr:rowOff>91440</xdr:rowOff>
    </xdr:from>
    <xdr:to>
      <xdr:col>22</xdr:col>
      <xdr:colOff>411480</xdr:colOff>
      <xdr:row>12</xdr:row>
      <xdr:rowOff>152400</xdr:rowOff>
    </xdr:to>
    <xdr:graphicFrame macro="">
      <xdr:nvGraphicFramePr>
        <xdr:cNvPr id="3" name="Chart 2">
          <a:extLst>
            <a:ext uri="{FF2B5EF4-FFF2-40B4-BE49-F238E27FC236}">
              <a16:creationId xmlns:a16="http://schemas.microsoft.com/office/drawing/2014/main" id="{B4DFD5E6-39BB-423B-9E1E-E245AE3464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236220</xdr:colOff>
      <xdr:row>13</xdr:row>
      <xdr:rowOff>114300</xdr:rowOff>
    </xdr:from>
    <xdr:to>
      <xdr:col>9</xdr:col>
      <xdr:colOff>182880</xdr:colOff>
      <xdr:row>25</xdr:row>
      <xdr:rowOff>26670</xdr:rowOff>
    </xdr:to>
    <xdr:graphicFrame macro="">
      <xdr:nvGraphicFramePr>
        <xdr:cNvPr id="4" name="Chart 3">
          <a:extLst>
            <a:ext uri="{FF2B5EF4-FFF2-40B4-BE49-F238E27FC236}">
              <a16:creationId xmlns:a16="http://schemas.microsoft.com/office/drawing/2014/main" id="{1F4FE96F-6F6D-4058-8BA1-628B2AB33B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297180</xdr:colOff>
      <xdr:row>1</xdr:row>
      <xdr:rowOff>91440</xdr:rowOff>
    </xdr:from>
    <xdr:to>
      <xdr:col>16</xdr:col>
      <xdr:colOff>83820</xdr:colOff>
      <xdr:row>12</xdr:row>
      <xdr:rowOff>160020</xdr:rowOff>
    </xdr:to>
    <xdr:graphicFrame macro="">
      <xdr:nvGraphicFramePr>
        <xdr:cNvPr id="5" name="Chart 4">
          <a:extLst>
            <a:ext uri="{FF2B5EF4-FFF2-40B4-BE49-F238E27FC236}">
              <a16:creationId xmlns:a16="http://schemas.microsoft.com/office/drawing/2014/main" id="{99D1CED4-BEF2-4ADD-AC59-008372F279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281940</xdr:colOff>
      <xdr:row>13</xdr:row>
      <xdr:rowOff>106680</xdr:rowOff>
    </xdr:from>
    <xdr:to>
      <xdr:col>16</xdr:col>
      <xdr:colOff>99060</xdr:colOff>
      <xdr:row>25</xdr:row>
      <xdr:rowOff>30480</xdr:rowOff>
    </xdr:to>
    <xdr:graphicFrame macro="">
      <xdr:nvGraphicFramePr>
        <xdr:cNvPr id="7" name="Chart 6">
          <a:extLst>
            <a:ext uri="{FF2B5EF4-FFF2-40B4-BE49-F238E27FC236}">
              <a16:creationId xmlns:a16="http://schemas.microsoft.com/office/drawing/2014/main" id="{03604C0A-471F-4CFD-8F15-E820D4EE3A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53340</xdr:colOff>
      <xdr:row>1</xdr:row>
      <xdr:rowOff>22861</xdr:rowOff>
    </xdr:from>
    <xdr:to>
      <xdr:col>3</xdr:col>
      <xdr:colOff>53340</xdr:colOff>
      <xdr:row>5</xdr:row>
      <xdr:rowOff>160021</xdr:rowOff>
    </xdr:to>
    <mc:AlternateContent xmlns:mc="http://schemas.openxmlformats.org/markup-compatibility/2006" xmlns:a14="http://schemas.microsoft.com/office/drawing/2010/main">
      <mc:Choice Requires="a14">
        <xdr:graphicFrame macro="">
          <xdr:nvGraphicFramePr>
            <xdr:cNvPr id="8" name="gender">
              <a:extLst>
                <a:ext uri="{FF2B5EF4-FFF2-40B4-BE49-F238E27FC236}">
                  <a16:creationId xmlns:a16="http://schemas.microsoft.com/office/drawing/2014/main" id="{A968176F-0C11-54B6-0B6C-CE733F06C02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3340" y="419101"/>
              <a:ext cx="1828800" cy="868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53340</xdr:colOff>
      <xdr:row>6</xdr:row>
      <xdr:rowOff>30480</xdr:rowOff>
    </xdr:from>
    <xdr:to>
      <xdr:col>3</xdr:col>
      <xdr:colOff>53340</xdr:colOff>
      <xdr:row>15</xdr:row>
      <xdr:rowOff>99059</xdr:rowOff>
    </xdr:to>
    <mc:AlternateContent xmlns:mc="http://schemas.openxmlformats.org/markup-compatibility/2006" xmlns:a14="http://schemas.microsoft.com/office/drawing/2010/main">
      <mc:Choice Requires="a14">
        <xdr:graphicFrame macro="">
          <xdr:nvGraphicFramePr>
            <xdr:cNvPr id="9" name="channel">
              <a:extLst>
                <a:ext uri="{FF2B5EF4-FFF2-40B4-BE49-F238E27FC236}">
                  <a16:creationId xmlns:a16="http://schemas.microsoft.com/office/drawing/2014/main" id="{9B99B6DC-4917-D2F5-599F-A24A3B0C59BE}"/>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53340" y="1341120"/>
              <a:ext cx="1828800" cy="1714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53340</xdr:colOff>
      <xdr:row>15</xdr:row>
      <xdr:rowOff>144780</xdr:rowOff>
    </xdr:from>
    <xdr:to>
      <xdr:col>3</xdr:col>
      <xdr:colOff>53340</xdr:colOff>
      <xdr:row>24</xdr:row>
      <xdr:rowOff>167640</xdr:rowOff>
    </xdr:to>
    <mc:AlternateContent xmlns:mc="http://schemas.openxmlformats.org/markup-compatibility/2006" xmlns:a14="http://schemas.microsoft.com/office/drawing/2010/main">
      <mc:Choice Requires="a14">
        <xdr:graphicFrame macro="">
          <xdr:nvGraphicFramePr>
            <xdr:cNvPr id="10" name="shipping city">
              <a:extLst>
                <a:ext uri="{FF2B5EF4-FFF2-40B4-BE49-F238E27FC236}">
                  <a16:creationId xmlns:a16="http://schemas.microsoft.com/office/drawing/2014/main" id="{80A0D31B-44A4-9770-8674-E1BE65C11096}"/>
                </a:ext>
              </a:extLst>
            </xdr:cNvPr>
            <xdr:cNvGraphicFramePr/>
          </xdr:nvGraphicFramePr>
          <xdr:xfrm>
            <a:off x="0" y="0"/>
            <a:ext cx="0" cy="0"/>
          </xdr:xfrm>
          <a:graphic>
            <a:graphicData uri="http://schemas.microsoft.com/office/drawing/2010/slicer">
              <sle:slicer xmlns:sle="http://schemas.microsoft.com/office/drawing/2010/slicer" name="shipping city"/>
            </a:graphicData>
          </a:graphic>
        </xdr:graphicFrame>
      </mc:Choice>
      <mc:Fallback xmlns="">
        <xdr:sp macro="" textlink="">
          <xdr:nvSpPr>
            <xdr:cNvPr id="0" name=""/>
            <xdr:cNvSpPr>
              <a:spLocks noTextEdit="1"/>
            </xdr:cNvSpPr>
          </xdr:nvSpPr>
          <xdr:spPr>
            <a:xfrm>
              <a:off x="53340" y="3101340"/>
              <a:ext cx="1828800" cy="1668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220980</xdr:colOff>
      <xdr:row>13</xdr:row>
      <xdr:rowOff>99060</xdr:rowOff>
    </xdr:from>
    <xdr:to>
      <xdr:col>22</xdr:col>
      <xdr:colOff>396240</xdr:colOff>
      <xdr:row>25</xdr:row>
      <xdr:rowOff>38100</xdr:rowOff>
    </xdr:to>
    <xdr:graphicFrame macro="">
      <xdr:nvGraphicFramePr>
        <xdr:cNvPr id="12" name="Chart 11">
          <a:extLst>
            <a:ext uri="{FF2B5EF4-FFF2-40B4-BE49-F238E27FC236}">
              <a16:creationId xmlns:a16="http://schemas.microsoft.com/office/drawing/2014/main" id="{0069C14B-70D4-4E99-9318-359F39952B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220980</xdr:colOff>
      <xdr:row>25</xdr:row>
      <xdr:rowOff>167640</xdr:rowOff>
    </xdr:from>
    <xdr:to>
      <xdr:col>22</xdr:col>
      <xdr:colOff>411480</xdr:colOff>
      <xdr:row>37</xdr:row>
      <xdr:rowOff>60960</xdr:rowOff>
    </xdr:to>
    <xdr:graphicFrame macro="">
      <xdr:nvGraphicFramePr>
        <xdr:cNvPr id="6" name="Chart 5">
          <a:extLst>
            <a:ext uri="{FF2B5EF4-FFF2-40B4-BE49-F238E27FC236}">
              <a16:creationId xmlns:a16="http://schemas.microsoft.com/office/drawing/2014/main" id="{6A2C2352-7D8D-4D18-9FA6-C8190BB95A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3</xdr:row>
      <xdr:rowOff>15240</xdr:rowOff>
    </xdr:from>
    <xdr:to>
      <xdr:col>10</xdr:col>
      <xdr:colOff>601980</xdr:colOff>
      <xdr:row>17</xdr:row>
      <xdr:rowOff>76200</xdr:rowOff>
    </xdr:to>
    <xdr:graphicFrame macro="">
      <xdr:nvGraphicFramePr>
        <xdr:cNvPr id="2" name="Chart 1">
          <a:extLst>
            <a:ext uri="{FF2B5EF4-FFF2-40B4-BE49-F238E27FC236}">
              <a16:creationId xmlns:a16="http://schemas.microsoft.com/office/drawing/2014/main" id="{02832764-6DB1-3E60-AAFE-0435B915AF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434340</xdr:colOff>
      <xdr:row>1</xdr:row>
      <xdr:rowOff>7620</xdr:rowOff>
    </xdr:from>
    <xdr:to>
      <xdr:col>9</xdr:col>
      <xdr:colOff>53340</xdr:colOff>
      <xdr:row>15</xdr:row>
      <xdr:rowOff>30480</xdr:rowOff>
    </xdr:to>
    <xdr:graphicFrame macro="">
      <xdr:nvGraphicFramePr>
        <xdr:cNvPr id="2" name="Chart 1">
          <a:extLst>
            <a:ext uri="{FF2B5EF4-FFF2-40B4-BE49-F238E27FC236}">
              <a16:creationId xmlns:a16="http://schemas.microsoft.com/office/drawing/2014/main" id="{CF2BF49D-8355-31DB-D28A-5826154680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7620</xdr:colOff>
      <xdr:row>2</xdr:row>
      <xdr:rowOff>3810</xdr:rowOff>
    </xdr:from>
    <xdr:to>
      <xdr:col>10</xdr:col>
      <xdr:colOff>373380</xdr:colOff>
      <xdr:row>17</xdr:row>
      <xdr:rowOff>30480</xdr:rowOff>
    </xdr:to>
    <xdr:graphicFrame macro="">
      <xdr:nvGraphicFramePr>
        <xdr:cNvPr id="2" name="Chart 1">
          <a:extLst>
            <a:ext uri="{FF2B5EF4-FFF2-40B4-BE49-F238E27FC236}">
              <a16:creationId xmlns:a16="http://schemas.microsoft.com/office/drawing/2014/main" id="{AAF5326D-8AFE-FC11-E4C8-B5917F5057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83820</xdr:colOff>
      <xdr:row>5</xdr:row>
      <xdr:rowOff>19050</xdr:rowOff>
    </xdr:from>
    <xdr:to>
      <xdr:col>11</xdr:col>
      <xdr:colOff>388620</xdr:colOff>
      <xdr:row>20</xdr:row>
      <xdr:rowOff>19050</xdr:rowOff>
    </xdr:to>
    <xdr:graphicFrame macro="">
      <xdr:nvGraphicFramePr>
        <xdr:cNvPr id="2" name="Chart 1">
          <a:extLst>
            <a:ext uri="{FF2B5EF4-FFF2-40B4-BE49-F238E27FC236}">
              <a16:creationId xmlns:a16="http://schemas.microsoft.com/office/drawing/2014/main" id="{42F75C63-6403-FECD-E354-B58C4B4D3C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njal chawla" refreshedDate="45875.926046643515" createdVersion="8" refreshedVersion="8" minRefreshableVersion="3" recordCount="300" xr:uid="{0011FD91-318F-4875-88C5-80DB1A75ED58}">
  <cacheSource type="worksheet">
    <worksheetSource name="Table1"/>
  </cacheSource>
  <cacheFields count="18">
    <cacheField name="index" numFmtId="0">
      <sharedItems containsSemiMixedTypes="0" containsString="0" containsNumber="1" containsInteger="1" minValue="1" maxValue="300"/>
    </cacheField>
    <cacheField name="order id" numFmtId="0">
      <sharedItems/>
    </cacheField>
    <cacheField name="customer id" numFmtId="0">
      <sharedItems containsSemiMixedTypes="0" containsString="0" containsNumber="1" containsInteger="1" minValue="345678" maxValue="3667867"/>
    </cacheField>
    <cacheField name="gender" numFmtId="0">
      <sharedItems count="2">
        <s v="male"/>
        <s v="female"/>
      </sharedItems>
    </cacheField>
    <cacheField name="age" numFmtId="0">
      <sharedItems containsSemiMixedTypes="0" containsString="0" containsNumber="1" containsInteger="1" minValue="18" maxValue="55"/>
    </cacheField>
    <cacheField name="age group" numFmtId="0">
      <sharedItems count="3">
        <s v="adult"/>
        <s v="teenager"/>
        <s v="senior"/>
      </sharedItems>
    </cacheField>
    <cacheField name="date" numFmtId="14">
      <sharedItems containsSemiMixedTypes="0" containsNonDate="0" containsDate="1" containsString="0" minDate="2024-01-15T00:00:00" maxDate="2025-01-11T00:00:00"/>
    </cacheField>
    <cacheField name="month" numFmtId="0">
      <sharedItems count="12">
        <s v="Apr"/>
        <s v="May"/>
        <s v="Jun"/>
        <s v="Jul"/>
        <s v="Aug"/>
        <s v="Sep"/>
        <s v="Oct"/>
        <s v="Nov"/>
        <s v="Dec"/>
        <s v="Jan"/>
        <s v="Feb"/>
        <s v="Mar"/>
      </sharedItems>
    </cacheField>
    <cacheField name="status" numFmtId="0">
      <sharedItems count="3">
        <s v="delivered"/>
        <s v="returned"/>
        <s v="cancelled"/>
      </sharedItems>
    </cacheField>
    <cacheField name="SKU's" numFmtId="0">
      <sharedItems/>
    </cacheField>
    <cacheField name="channel" numFmtId="0">
      <sharedItems count="9">
        <s v="Myntra"/>
        <s v="Ajio"/>
        <s v="Meesho"/>
        <s v="Nykaa fashion"/>
        <s v="Amazon"/>
        <s v="others"/>
        <s v="Cliq"/>
        <s v="Snapdeal"/>
        <s v="Flipkart"/>
      </sharedItems>
    </cacheField>
    <cacheField name="category" numFmtId="0">
      <sharedItems count="16">
        <s v="T-shirts"/>
        <s v="saree"/>
        <s v="Blouse"/>
        <s v="leggings"/>
        <s v="Tank top"/>
        <s v="crop top"/>
        <s v="kurti"/>
        <s v="polo shirt"/>
        <s v="shirts"/>
        <s v="gown"/>
        <s v="jeans"/>
        <s v="joggers"/>
        <s v="camisoles"/>
        <s v="kurta set"/>
        <s v="trousers"/>
        <s v="shorts"/>
      </sharedItems>
    </cacheField>
    <cacheField name="size" numFmtId="0">
      <sharedItems/>
    </cacheField>
    <cacheField name="quantity" numFmtId="0">
      <sharedItems containsSemiMixedTypes="0" containsString="0" containsNumber="1" containsInteger="1" minValue="1" maxValue="3"/>
    </cacheField>
    <cacheField name="currency" numFmtId="0">
      <sharedItems/>
    </cacheField>
    <cacheField name="amount" numFmtId="0">
      <sharedItems containsSemiMixedTypes="0" containsString="0" containsNumber="1" containsInteger="1" minValue="240" maxValue="2778"/>
    </cacheField>
    <cacheField name="shipping city" numFmtId="0">
      <sharedItems count="16">
        <s v="Indore"/>
        <s v="Ujjain"/>
        <s v="Ajmer"/>
        <s v="Jaipur"/>
        <s v="Delhi"/>
        <s v="Mumbai"/>
        <s v="surat"/>
        <s v="bhopal"/>
        <s v="nagpur"/>
        <s v="pune"/>
        <s v="ahmedabad"/>
        <s v="dewas"/>
        <s v="shimla"/>
        <s v="amritsar"/>
        <s v="chandigarh"/>
        <s v="gwalior"/>
      </sharedItems>
    </cacheField>
    <cacheField name="ship country" numFmtId="0">
      <sharedItems/>
    </cacheField>
  </cacheFields>
  <extLst>
    <ext xmlns:x14="http://schemas.microsoft.com/office/spreadsheetml/2009/9/main" uri="{725AE2AE-9491-48be-B2B4-4EB974FC3084}">
      <x14:pivotCacheDefinition pivotCacheId="2544539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1"/>
    <s v="ORD23458710"/>
    <n v="345678"/>
    <x v="0"/>
    <n v="22"/>
    <x v="0"/>
    <d v="2024-04-01T00:00:00"/>
    <x v="0"/>
    <x v="0"/>
    <s v="JUK234-KL-212"/>
    <x v="0"/>
    <x v="0"/>
    <s v="XXL"/>
    <n v="1"/>
    <s v="INR"/>
    <n v="345"/>
    <x v="0"/>
    <s v="India"/>
  </r>
  <r>
    <n v="2"/>
    <s v="ORD23458711"/>
    <n v="356789"/>
    <x v="1"/>
    <n v="20"/>
    <x v="1"/>
    <d v="2024-04-03T00:00:00"/>
    <x v="0"/>
    <x v="0"/>
    <s v="JUK234-KL-213"/>
    <x v="1"/>
    <x v="1"/>
    <s v="M"/>
    <n v="1"/>
    <s v="INR"/>
    <n v="1230"/>
    <x v="1"/>
    <s v="India"/>
  </r>
  <r>
    <n v="3"/>
    <s v="ORD23458712"/>
    <n v="367900"/>
    <x v="0"/>
    <n v="33"/>
    <x v="0"/>
    <d v="2024-04-05T00:00:00"/>
    <x v="0"/>
    <x v="0"/>
    <s v="JUK234-KL-214"/>
    <x v="2"/>
    <x v="0"/>
    <s v="L"/>
    <n v="1"/>
    <s v="INR"/>
    <n v="500"/>
    <x v="2"/>
    <s v="India"/>
  </r>
  <r>
    <n v="4"/>
    <s v="ORD23458713"/>
    <n v="379011"/>
    <x v="0"/>
    <n v="37"/>
    <x v="0"/>
    <d v="2024-04-07T00:00:00"/>
    <x v="0"/>
    <x v="0"/>
    <s v="JUK234-KL-215"/>
    <x v="3"/>
    <x v="0"/>
    <s v="S"/>
    <n v="1"/>
    <s v="INR"/>
    <n v="550"/>
    <x v="0"/>
    <s v="India"/>
  </r>
  <r>
    <n v="5"/>
    <s v="ORD23458714"/>
    <n v="390122"/>
    <x v="1"/>
    <n v="19"/>
    <x v="1"/>
    <d v="2024-04-09T00:00:00"/>
    <x v="0"/>
    <x v="0"/>
    <s v="JUK234-KL-216"/>
    <x v="1"/>
    <x v="2"/>
    <s v="XS"/>
    <n v="1"/>
    <s v="INR"/>
    <n v="600"/>
    <x v="3"/>
    <s v="India"/>
  </r>
  <r>
    <n v="6"/>
    <s v="ORD23458715"/>
    <n v="401233"/>
    <x v="1"/>
    <n v="20"/>
    <x v="1"/>
    <d v="2024-04-11T00:00:00"/>
    <x v="0"/>
    <x v="0"/>
    <s v="JUK234-KL-217"/>
    <x v="1"/>
    <x v="1"/>
    <s v="XS"/>
    <n v="1"/>
    <s v="INR"/>
    <n v="650"/>
    <x v="4"/>
    <s v="India"/>
  </r>
  <r>
    <n v="7"/>
    <s v="ORD23458716"/>
    <n v="412344"/>
    <x v="1"/>
    <n v="20"/>
    <x v="1"/>
    <d v="2024-04-12T00:00:00"/>
    <x v="0"/>
    <x v="0"/>
    <s v="JUK234-KL-218"/>
    <x v="2"/>
    <x v="2"/>
    <s v="S"/>
    <n v="1"/>
    <s v="INR"/>
    <n v="700"/>
    <x v="5"/>
    <s v="India"/>
  </r>
  <r>
    <n v="8"/>
    <s v="ORD23458717"/>
    <n v="423455"/>
    <x v="1"/>
    <n v="21"/>
    <x v="0"/>
    <d v="2024-04-13T00:00:00"/>
    <x v="0"/>
    <x v="0"/>
    <s v="SET674-TL-233"/>
    <x v="0"/>
    <x v="3"/>
    <s v="M"/>
    <n v="1"/>
    <s v="INR"/>
    <n v="750"/>
    <x v="5"/>
    <s v="India"/>
  </r>
  <r>
    <n v="9"/>
    <s v="ORD23458718"/>
    <n v="434566"/>
    <x v="1"/>
    <n v="22"/>
    <x v="0"/>
    <d v="2024-04-14T00:00:00"/>
    <x v="0"/>
    <x v="0"/>
    <s v="SET674-TL-245"/>
    <x v="4"/>
    <x v="3"/>
    <s v="XXL"/>
    <n v="1"/>
    <s v="INR"/>
    <n v="800"/>
    <x v="6"/>
    <s v="India"/>
  </r>
  <r>
    <n v="10"/>
    <s v="ORD23458719"/>
    <n v="445677"/>
    <x v="1"/>
    <n v="23"/>
    <x v="0"/>
    <d v="2024-04-15T00:00:00"/>
    <x v="0"/>
    <x v="0"/>
    <s v="SET674-TL-257"/>
    <x v="5"/>
    <x v="4"/>
    <s v="XXL"/>
    <n v="1"/>
    <s v="INR"/>
    <n v="1000"/>
    <x v="0"/>
    <s v="India"/>
  </r>
  <r>
    <n v="11"/>
    <s v="ORD23458720"/>
    <n v="456788"/>
    <x v="1"/>
    <n v="24"/>
    <x v="0"/>
    <d v="2024-04-16T00:00:00"/>
    <x v="0"/>
    <x v="0"/>
    <s v="SET674-TL-269"/>
    <x v="5"/>
    <x v="4"/>
    <s v="XXL"/>
    <n v="1"/>
    <s v="INR"/>
    <n v="1012"/>
    <x v="7"/>
    <s v="India"/>
  </r>
  <r>
    <n v="12"/>
    <s v="ORD23458721"/>
    <n v="467899"/>
    <x v="1"/>
    <n v="30"/>
    <x v="0"/>
    <d v="2024-04-17T00:00:00"/>
    <x v="0"/>
    <x v="0"/>
    <s v="SET674-TL-281"/>
    <x v="4"/>
    <x v="4"/>
    <s v="XL"/>
    <n v="1"/>
    <s v="INR"/>
    <n v="1024"/>
    <x v="7"/>
    <s v="India"/>
  </r>
  <r>
    <n v="13"/>
    <s v="ORD23458722"/>
    <n v="479010"/>
    <x v="1"/>
    <n v="32"/>
    <x v="0"/>
    <d v="2024-04-18T00:00:00"/>
    <x v="0"/>
    <x v="0"/>
    <s v="SET674-TL-293"/>
    <x v="1"/>
    <x v="5"/>
    <s v="S"/>
    <n v="1"/>
    <s v="INR"/>
    <n v="1036"/>
    <x v="8"/>
    <s v="India"/>
  </r>
  <r>
    <n v="14"/>
    <s v="ORD23458723"/>
    <n v="490121"/>
    <x v="1"/>
    <n v="34"/>
    <x v="0"/>
    <d v="2024-04-19T00:00:00"/>
    <x v="0"/>
    <x v="0"/>
    <s v="SET674-TL-305"/>
    <x v="6"/>
    <x v="5"/>
    <s v="S"/>
    <n v="1"/>
    <s v="INR"/>
    <n v="1048"/>
    <x v="9"/>
    <s v="India"/>
  </r>
  <r>
    <n v="15"/>
    <s v="ORD23458724"/>
    <n v="501232"/>
    <x v="1"/>
    <n v="36"/>
    <x v="0"/>
    <d v="2024-04-20T00:00:00"/>
    <x v="0"/>
    <x v="0"/>
    <s v="SET674-TL-317"/>
    <x v="6"/>
    <x v="5"/>
    <s v="S"/>
    <n v="1"/>
    <s v="INR"/>
    <n v="400"/>
    <x v="1"/>
    <s v="India"/>
  </r>
  <r>
    <n v="16"/>
    <s v="ORD23458725"/>
    <n v="512343"/>
    <x v="1"/>
    <n v="38"/>
    <x v="0"/>
    <d v="2024-04-22T00:00:00"/>
    <x v="0"/>
    <x v="0"/>
    <s v="JUK234-KL-225"/>
    <x v="6"/>
    <x v="5"/>
    <s v="S"/>
    <n v="1"/>
    <s v="INR"/>
    <n v="440"/>
    <x v="2"/>
    <s v="India"/>
  </r>
  <r>
    <n v="17"/>
    <s v="ORD23458726"/>
    <n v="523454"/>
    <x v="1"/>
    <n v="40"/>
    <x v="0"/>
    <d v="2024-04-23T00:00:00"/>
    <x v="0"/>
    <x v="0"/>
    <s v="JUK234-KL-244"/>
    <x v="4"/>
    <x v="3"/>
    <s v="M"/>
    <n v="1"/>
    <s v="INR"/>
    <n v="480"/>
    <x v="9"/>
    <s v="India"/>
  </r>
  <r>
    <n v="18"/>
    <s v="ORD23458727"/>
    <n v="534565"/>
    <x v="1"/>
    <n v="41"/>
    <x v="0"/>
    <d v="2024-04-24T00:00:00"/>
    <x v="0"/>
    <x v="0"/>
    <s v="JUK234-KL-263"/>
    <x v="1"/>
    <x v="3"/>
    <s v="M"/>
    <n v="1"/>
    <s v="INR"/>
    <n v="520"/>
    <x v="5"/>
    <s v="India"/>
  </r>
  <r>
    <n v="19"/>
    <s v="ORD23458728"/>
    <n v="545676"/>
    <x v="1"/>
    <n v="42"/>
    <x v="0"/>
    <d v="2024-04-25T00:00:00"/>
    <x v="0"/>
    <x v="0"/>
    <s v="JUK234-KL-282"/>
    <x v="2"/>
    <x v="3"/>
    <s v="M"/>
    <n v="1"/>
    <s v="INR"/>
    <n v="560"/>
    <x v="10"/>
    <s v="India"/>
  </r>
  <r>
    <n v="20"/>
    <s v="ORD23458729"/>
    <n v="556787"/>
    <x v="1"/>
    <n v="43"/>
    <x v="0"/>
    <d v="2024-04-27T00:00:00"/>
    <x v="0"/>
    <x v="0"/>
    <s v="JUK234-KL-301"/>
    <x v="5"/>
    <x v="6"/>
    <s v="M"/>
    <n v="1"/>
    <s v="INR"/>
    <n v="600"/>
    <x v="10"/>
    <s v="India"/>
  </r>
  <r>
    <n v="21"/>
    <s v="ORD23458730"/>
    <n v="567898"/>
    <x v="1"/>
    <n v="44"/>
    <x v="0"/>
    <d v="2024-04-28T00:00:00"/>
    <x v="0"/>
    <x v="0"/>
    <s v="JUK234-KL-320"/>
    <x v="5"/>
    <x v="6"/>
    <s v="M"/>
    <n v="1"/>
    <s v="INR"/>
    <n v="640"/>
    <x v="5"/>
    <s v="India"/>
  </r>
  <r>
    <n v="22"/>
    <s v="ORD23458731"/>
    <n v="579009"/>
    <x v="1"/>
    <n v="22"/>
    <x v="0"/>
    <d v="2024-04-29T00:00:00"/>
    <x v="0"/>
    <x v="0"/>
    <s v="JUK234-KL-339"/>
    <x v="4"/>
    <x v="6"/>
    <s v="M"/>
    <n v="1"/>
    <s v="INR"/>
    <n v="680"/>
    <x v="5"/>
    <s v="India"/>
  </r>
  <r>
    <n v="23"/>
    <s v="ORD23458732"/>
    <n v="590120"/>
    <x v="1"/>
    <n v="23"/>
    <x v="0"/>
    <d v="2024-04-30T00:00:00"/>
    <x v="0"/>
    <x v="0"/>
    <s v="JUK234-KL-358"/>
    <x v="1"/>
    <x v="6"/>
    <s v="M"/>
    <n v="1"/>
    <s v="INR"/>
    <n v="720"/>
    <x v="0"/>
    <s v="India"/>
  </r>
  <r>
    <n v="24"/>
    <s v="ORD23458733"/>
    <n v="601231"/>
    <x v="1"/>
    <n v="24"/>
    <x v="0"/>
    <d v="2024-05-01T00:00:00"/>
    <x v="1"/>
    <x v="0"/>
    <s v="JUK234-KL-377"/>
    <x v="1"/>
    <x v="6"/>
    <s v="M"/>
    <n v="1"/>
    <s v="INR"/>
    <n v="1300"/>
    <x v="0"/>
    <s v="India"/>
  </r>
  <r>
    <n v="25"/>
    <s v="ORD23458734"/>
    <n v="612342"/>
    <x v="0"/>
    <n v="25"/>
    <x v="0"/>
    <d v="2024-05-02T00:00:00"/>
    <x v="1"/>
    <x v="0"/>
    <s v="JUK234-KL-396"/>
    <x v="1"/>
    <x v="7"/>
    <s v="XL"/>
    <n v="1"/>
    <s v="INR"/>
    <n v="1245"/>
    <x v="6"/>
    <s v="India"/>
  </r>
  <r>
    <n v="26"/>
    <s v="ORD23458735"/>
    <n v="623453"/>
    <x v="0"/>
    <n v="26"/>
    <x v="0"/>
    <d v="2024-05-03T00:00:00"/>
    <x v="1"/>
    <x v="0"/>
    <s v="JUK234-KL-415"/>
    <x v="1"/>
    <x v="8"/>
    <s v="XL"/>
    <n v="1"/>
    <s v="INR"/>
    <n v="1400"/>
    <x v="11"/>
    <s v="India"/>
  </r>
  <r>
    <n v="27"/>
    <s v="ORD23458736"/>
    <n v="634564"/>
    <x v="0"/>
    <n v="27"/>
    <x v="0"/>
    <d v="2024-05-04T00:00:00"/>
    <x v="1"/>
    <x v="0"/>
    <s v="JUK234-KL-434"/>
    <x v="1"/>
    <x v="7"/>
    <s v="XL"/>
    <n v="1"/>
    <s v="INR"/>
    <n v="1245"/>
    <x v="12"/>
    <s v="India"/>
  </r>
  <r>
    <n v="28"/>
    <s v="ORD23458737"/>
    <n v="645675"/>
    <x v="0"/>
    <n v="20"/>
    <x v="1"/>
    <d v="2024-05-05T00:00:00"/>
    <x v="1"/>
    <x v="0"/>
    <s v="JUK234-KL-453"/>
    <x v="4"/>
    <x v="0"/>
    <s v="XL"/>
    <n v="1"/>
    <s v="INR"/>
    <n v="1250"/>
    <x v="13"/>
    <s v="India"/>
  </r>
  <r>
    <n v="29"/>
    <s v="ORD23458738"/>
    <n v="656786"/>
    <x v="0"/>
    <n v="19"/>
    <x v="1"/>
    <d v="2024-05-06T00:00:00"/>
    <x v="1"/>
    <x v="0"/>
    <s v="JUK234-KL-472"/>
    <x v="4"/>
    <x v="8"/>
    <s v="XL"/>
    <n v="1"/>
    <s v="INR"/>
    <n v="1255"/>
    <x v="14"/>
    <s v="India"/>
  </r>
  <r>
    <n v="30"/>
    <s v="ORD23458739"/>
    <n v="667897"/>
    <x v="0"/>
    <n v="18"/>
    <x v="1"/>
    <d v="2024-05-07T00:00:00"/>
    <x v="1"/>
    <x v="0"/>
    <s v="JUK234-KL-491"/>
    <x v="5"/>
    <x v="7"/>
    <s v="XS"/>
    <n v="1"/>
    <s v="INR"/>
    <n v="1260"/>
    <x v="14"/>
    <s v="India"/>
  </r>
  <r>
    <n v="31"/>
    <s v="ORD23458740"/>
    <n v="679008"/>
    <x v="0"/>
    <n v="18"/>
    <x v="1"/>
    <d v="2024-05-08T00:00:00"/>
    <x v="1"/>
    <x v="0"/>
    <s v="JUK234-KL-510"/>
    <x v="5"/>
    <x v="0"/>
    <s v="XS"/>
    <n v="1"/>
    <s v="INR"/>
    <n v="1265"/>
    <x v="0"/>
    <s v="India"/>
  </r>
  <r>
    <n v="32"/>
    <s v="ORD23458741"/>
    <n v="690119"/>
    <x v="1"/>
    <n v="18"/>
    <x v="1"/>
    <d v="2024-05-09T00:00:00"/>
    <x v="1"/>
    <x v="0"/>
    <s v="JUK234-KL-529"/>
    <x v="5"/>
    <x v="2"/>
    <s v="XS"/>
    <n v="1"/>
    <s v="INR"/>
    <n v="1270"/>
    <x v="1"/>
    <s v="India"/>
  </r>
  <r>
    <n v="33"/>
    <s v="ORD23458742"/>
    <n v="701230"/>
    <x v="1"/>
    <n v="22"/>
    <x v="0"/>
    <d v="2024-05-10T00:00:00"/>
    <x v="1"/>
    <x v="0"/>
    <s v="JUK234-KL-548"/>
    <x v="5"/>
    <x v="2"/>
    <s v="M"/>
    <n v="1"/>
    <s v="INR"/>
    <n v="1275"/>
    <x v="9"/>
    <s v="India"/>
  </r>
  <r>
    <n v="34"/>
    <s v="ORD23458743"/>
    <n v="712341"/>
    <x v="1"/>
    <n v="23"/>
    <x v="0"/>
    <d v="2024-05-11T00:00:00"/>
    <x v="1"/>
    <x v="0"/>
    <s v="JUK234-KL-567"/>
    <x v="5"/>
    <x v="2"/>
    <s v="M"/>
    <n v="1"/>
    <s v="INR"/>
    <n v="1280"/>
    <x v="5"/>
    <s v="India"/>
  </r>
  <r>
    <n v="35"/>
    <s v="ORD23458744"/>
    <n v="723452"/>
    <x v="1"/>
    <n v="24"/>
    <x v="0"/>
    <d v="2024-05-12T00:00:00"/>
    <x v="1"/>
    <x v="0"/>
    <s v="JUK234-KL-586"/>
    <x v="5"/>
    <x v="2"/>
    <s v="M"/>
    <n v="1"/>
    <s v="INR"/>
    <n v="1285"/>
    <x v="4"/>
    <s v="India"/>
  </r>
  <r>
    <n v="36"/>
    <s v="ORD23458745"/>
    <n v="734563"/>
    <x v="1"/>
    <n v="25"/>
    <x v="0"/>
    <d v="2024-05-13T00:00:00"/>
    <x v="1"/>
    <x v="0"/>
    <s v="JUK234-KL-605"/>
    <x v="5"/>
    <x v="1"/>
    <s v="L"/>
    <n v="1"/>
    <s v="INR"/>
    <n v="1290"/>
    <x v="5"/>
    <s v="India"/>
  </r>
  <r>
    <n v="37"/>
    <s v="ORD23458746"/>
    <n v="745674"/>
    <x v="1"/>
    <n v="26"/>
    <x v="0"/>
    <d v="2024-05-14T00:00:00"/>
    <x v="1"/>
    <x v="1"/>
    <s v="JUK234-KL-624"/>
    <x v="5"/>
    <x v="1"/>
    <s v="L"/>
    <n v="1"/>
    <s v="INR"/>
    <n v="1295"/>
    <x v="0"/>
    <s v="India"/>
  </r>
  <r>
    <n v="38"/>
    <s v="ORD23458747"/>
    <n v="756785"/>
    <x v="1"/>
    <n v="27"/>
    <x v="0"/>
    <d v="2024-05-15T00:00:00"/>
    <x v="1"/>
    <x v="0"/>
    <s v="JUK234-KL-643"/>
    <x v="5"/>
    <x v="1"/>
    <s v="L"/>
    <n v="1"/>
    <s v="INR"/>
    <n v="1300"/>
    <x v="7"/>
    <s v="India"/>
  </r>
  <r>
    <n v="39"/>
    <s v="ORD23458748"/>
    <n v="767896"/>
    <x v="0"/>
    <n v="34"/>
    <x v="0"/>
    <d v="2024-05-16T00:00:00"/>
    <x v="1"/>
    <x v="0"/>
    <s v="JUK234-KL-662"/>
    <x v="5"/>
    <x v="7"/>
    <s v="L"/>
    <n v="1"/>
    <s v="INR"/>
    <n v="1305"/>
    <x v="2"/>
    <s v="India"/>
  </r>
  <r>
    <n v="40"/>
    <s v="ORD23458749"/>
    <n v="779007"/>
    <x v="0"/>
    <n v="36"/>
    <x v="0"/>
    <d v="2024-05-17T00:00:00"/>
    <x v="1"/>
    <x v="0"/>
    <s v="JUK234-KL-681"/>
    <x v="5"/>
    <x v="0"/>
    <s v="L"/>
    <n v="1"/>
    <s v="INR"/>
    <n v="1010"/>
    <x v="3"/>
    <s v="India"/>
  </r>
  <r>
    <n v="41"/>
    <s v="ORD23458750"/>
    <n v="790118"/>
    <x v="0"/>
    <n v="38"/>
    <x v="0"/>
    <d v="2024-05-18T00:00:00"/>
    <x v="1"/>
    <x v="0"/>
    <s v="JUK234-KL-700"/>
    <x v="5"/>
    <x v="7"/>
    <s v="M"/>
    <n v="1"/>
    <s v="INR"/>
    <n v="1012"/>
    <x v="3"/>
    <s v="India"/>
  </r>
  <r>
    <n v="42"/>
    <s v="ORD23458751"/>
    <n v="801229"/>
    <x v="1"/>
    <n v="40"/>
    <x v="0"/>
    <d v="2024-05-19T00:00:00"/>
    <x v="1"/>
    <x v="1"/>
    <s v="JUK234-KL-719"/>
    <x v="5"/>
    <x v="4"/>
    <s v="M"/>
    <n v="1"/>
    <s v="INR"/>
    <n v="1014"/>
    <x v="2"/>
    <s v="India"/>
  </r>
  <r>
    <n v="43"/>
    <s v="ORD23458752"/>
    <n v="812340"/>
    <x v="1"/>
    <n v="42"/>
    <x v="0"/>
    <d v="2024-05-20T00:00:00"/>
    <x v="1"/>
    <x v="0"/>
    <s v="JUK234-KL-738"/>
    <x v="2"/>
    <x v="4"/>
    <s v="M"/>
    <n v="1"/>
    <s v="INR"/>
    <n v="1016"/>
    <x v="2"/>
    <s v="India"/>
  </r>
  <r>
    <n v="44"/>
    <s v="ORD23458753"/>
    <n v="823451"/>
    <x v="1"/>
    <n v="19"/>
    <x v="1"/>
    <d v="2024-05-21T00:00:00"/>
    <x v="1"/>
    <x v="0"/>
    <s v="JUK234-KL-757"/>
    <x v="2"/>
    <x v="4"/>
    <s v="M"/>
    <n v="1"/>
    <s v="INR"/>
    <n v="800"/>
    <x v="2"/>
    <s v="India"/>
  </r>
  <r>
    <n v="45"/>
    <s v="ORD23458754"/>
    <n v="834562"/>
    <x v="1"/>
    <n v="20"/>
    <x v="1"/>
    <d v="2024-05-22T00:00:00"/>
    <x v="1"/>
    <x v="0"/>
    <s v="JUK234-KL-776"/>
    <x v="2"/>
    <x v="4"/>
    <s v="M"/>
    <n v="1"/>
    <s v="INR"/>
    <n v="880"/>
    <x v="2"/>
    <s v="India"/>
  </r>
  <r>
    <n v="46"/>
    <s v="ORD23458755"/>
    <n v="845673"/>
    <x v="1"/>
    <n v="21"/>
    <x v="0"/>
    <d v="2024-05-23T00:00:00"/>
    <x v="1"/>
    <x v="2"/>
    <s v="JUK234-KL-795"/>
    <x v="2"/>
    <x v="4"/>
    <s v="XL"/>
    <n v="1"/>
    <s v="INR"/>
    <n v="960"/>
    <x v="2"/>
    <s v="India"/>
  </r>
  <r>
    <n v="47"/>
    <s v="ORD23458756"/>
    <n v="856784"/>
    <x v="1"/>
    <n v="22"/>
    <x v="0"/>
    <d v="2024-05-24T00:00:00"/>
    <x v="1"/>
    <x v="0"/>
    <s v="JUK234-KL-814"/>
    <x v="7"/>
    <x v="4"/>
    <s v="XL"/>
    <n v="1"/>
    <s v="INR"/>
    <n v="1040"/>
    <x v="2"/>
    <s v="India"/>
  </r>
  <r>
    <n v="48"/>
    <s v="ORD23458757"/>
    <n v="867895"/>
    <x v="1"/>
    <n v="23"/>
    <x v="0"/>
    <d v="2024-05-25T00:00:00"/>
    <x v="1"/>
    <x v="0"/>
    <s v="JUK234-KL-833"/>
    <x v="7"/>
    <x v="4"/>
    <s v="S"/>
    <n v="1"/>
    <s v="INR"/>
    <n v="1120"/>
    <x v="7"/>
    <s v="India"/>
  </r>
  <r>
    <n v="49"/>
    <s v="ORD23458758"/>
    <n v="879006"/>
    <x v="1"/>
    <n v="24"/>
    <x v="0"/>
    <d v="2024-05-26T00:00:00"/>
    <x v="1"/>
    <x v="0"/>
    <s v="JUK234-KL-852"/>
    <x v="7"/>
    <x v="4"/>
    <s v="S"/>
    <n v="1"/>
    <s v="INR"/>
    <n v="1200"/>
    <x v="7"/>
    <s v="India"/>
  </r>
  <r>
    <n v="50"/>
    <s v="ORD23458759"/>
    <n v="890117"/>
    <x v="1"/>
    <n v="25"/>
    <x v="0"/>
    <d v="2024-05-27T00:00:00"/>
    <x v="1"/>
    <x v="1"/>
    <s v="JUK234-KL-871"/>
    <x v="7"/>
    <x v="4"/>
    <s v="S"/>
    <n v="1"/>
    <s v="INR"/>
    <n v="1280"/>
    <x v="7"/>
    <s v="India"/>
  </r>
  <r>
    <n v="51"/>
    <s v="ORD23458760"/>
    <n v="901228"/>
    <x v="1"/>
    <n v="26"/>
    <x v="0"/>
    <d v="2024-05-28T00:00:00"/>
    <x v="1"/>
    <x v="0"/>
    <s v="JUK234-KL-890"/>
    <x v="8"/>
    <x v="6"/>
    <s v="S"/>
    <n v="1"/>
    <s v="INR"/>
    <n v="1340"/>
    <x v="7"/>
    <s v="India"/>
  </r>
  <r>
    <n v="52"/>
    <s v="ORD23458761"/>
    <n v="912339"/>
    <x v="1"/>
    <n v="27"/>
    <x v="0"/>
    <d v="2024-05-29T00:00:00"/>
    <x v="1"/>
    <x v="0"/>
    <s v="JUK234-KL-909"/>
    <x v="8"/>
    <x v="6"/>
    <s v="S"/>
    <n v="1"/>
    <s v="INR"/>
    <n v="1380"/>
    <x v="9"/>
    <s v="India"/>
  </r>
  <r>
    <n v="53"/>
    <s v="ORD23458762"/>
    <n v="923450"/>
    <x v="1"/>
    <n v="28"/>
    <x v="0"/>
    <d v="2024-05-30T00:00:00"/>
    <x v="1"/>
    <x v="0"/>
    <s v="JUK234-KL-928"/>
    <x v="8"/>
    <x v="6"/>
    <s v="S"/>
    <n v="1"/>
    <s v="INR"/>
    <n v="1420"/>
    <x v="9"/>
    <s v="India"/>
  </r>
  <r>
    <n v="54"/>
    <s v="ORD23458763"/>
    <n v="934561"/>
    <x v="1"/>
    <n v="22"/>
    <x v="0"/>
    <d v="2024-05-31T00:00:00"/>
    <x v="1"/>
    <x v="0"/>
    <s v="JUK234-KL-947"/>
    <x v="8"/>
    <x v="6"/>
    <s v="S"/>
    <n v="1"/>
    <s v="INR"/>
    <n v="1460"/>
    <x v="9"/>
    <s v="India"/>
  </r>
  <r>
    <n v="55"/>
    <s v="ORD23458764"/>
    <n v="945672"/>
    <x v="1"/>
    <n v="23"/>
    <x v="0"/>
    <d v="2024-06-01T00:00:00"/>
    <x v="2"/>
    <x v="0"/>
    <s v="JUK234-KL-966"/>
    <x v="8"/>
    <x v="6"/>
    <s v="S"/>
    <n v="1"/>
    <s v="INR"/>
    <n v="1500"/>
    <x v="0"/>
    <s v="India"/>
  </r>
  <r>
    <n v="56"/>
    <s v="ORD23458765"/>
    <n v="956783"/>
    <x v="1"/>
    <n v="19"/>
    <x v="1"/>
    <d v="2024-06-02T00:00:00"/>
    <x v="2"/>
    <x v="0"/>
    <s v="JUK234-KL-985"/>
    <x v="2"/>
    <x v="9"/>
    <s v="XXL"/>
    <n v="1"/>
    <s v="INR"/>
    <n v="1540"/>
    <x v="0"/>
    <s v="India"/>
  </r>
  <r>
    <n v="57"/>
    <s v="ORD23458766"/>
    <n v="967894"/>
    <x v="1"/>
    <n v="20"/>
    <x v="1"/>
    <d v="2024-06-03T00:00:00"/>
    <x v="2"/>
    <x v="0"/>
    <s v="JUK234-KL-1004"/>
    <x v="2"/>
    <x v="9"/>
    <s v="XXL"/>
    <n v="1"/>
    <s v="INR"/>
    <n v="380"/>
    <x v="7"/>
    <s v="India"/>
  </r>
  <r>
    <n v="58"/>
    <s v="ORD23458767"/>
    <n v="979005"/>
    <x v="1"/>
    <n v="21"/>
    <x v="0"/>
    <d v="2024-06-04T00:00:00"/>
    <x v="2"/>
    <x v="0"/>
    <s v="JUK234-KL-1023"/>
    <x v="5"/>
    <x v="9"/>
    <s v="XXL"/>
    <n v="1"/>
    <s v="INR"/>
    <n v="400"/>
    <x v="5"/>
    <s v="India"/>
  </r>
  <r>
    <n v="59"/>
    <s v="ORD23458768"/>
    <n v="990116"/>
    <x v="1"/>
    <n v="22"/>
    <x v="0"/>
    <d v="2024-06-05T00:00:00"/>
    <x v="2"/>
    <x v="0"/>
    <s v="JUK234-KL-1042"/>
    <x v="5"/>
    <x v="9"/>
    <s v="XXL"/>
    <n v="1"/>
    <s v="INR"/>
    <n v="420"/>
    <x v="4"/>
    <s v="India"/>
  </r>
  <r>
    <n v="60"/>
    <s v="ORD23458769"/>
    <n v="1001227"/>
    <x v="1"/>
    <n v="23"/>
    <x v="0"/>
    <d v="2024-06-06T00:00:00"/>
    <x v="2"/>
    <x v="0"/>
    <s v="JUK234-KL-1061"/>
    <x v="5"/>
    <x v="9"/>
    <s v="XXL"/>
    <n v="1"/>
    <s v="INR"/>
    <n v="440"/>
    <x v="5"/>
    <s v="India"/>
  </r>
  <r>
    <n v="61"/>
    <s v="ORD23458770"/>
    <n v="1012338"/>
    <x v="1"/>
    <n v="24"/>
    <x v="0"/>
    <d v="2024-06-07T00:00:00"/>
    <x v="2"/>
    <x v="0"/>
    <s v="JUK234-KL-1080"/>
    <x v="8"/>
    <x v="9"/>
    <s v="3XL"/>
    <n v="1"/>
    <s v="INR"/>
    <n v="460"/>
    <x v="5"/>
    <s v="India"/>
  </r>
  <r>
    <n v="62"/>
    <s v="ORD23458771"/>
    <n v="1023449"/>
    <x v="1"/>
    <n v="25"/>
    <x v="0"/>
    <d v="2024-06-08T00:00:00"/>
    <x v="2"/>
    <x v="0"/>
    <s v="JUK234-KL-1099"/>
    <x v="2"/>
    <x v="6"/>
    <s v="XXL"/>
    <n v="1"/>
    <s v="INR"/>
    <n v="480"/>
    <x v="5"/>
    <s v="India"/>
  </r>
  <r>
    <n v="63"/>
    <s v="ORD23458772"/>
    <n v="1034560"/>
    <x v="1"/>
    <n v="26"/>
    <x v="0"/>
    <d v="2024-06-09T00:00:00"/>
    <x v="2"/>
    <x v="0"/>
    <s v="JUK234-KL-1118"/>
    <x v="2"/>
    <x v="6"/>
    <s v="XL"/>
    <n v="1"/>
    <s v="INR"/>
    <n v="500"/>
    <x v="7"/>
    <s v="India"/>
  </r>
  <r>
    <n v="64"/>
    <s v="ORD23458773"/>
    <n v="1045671"/>
    <x v="1"/>
    <n v="27"/>
    <x v="0"/>
    <d v="2024-06-10T00:00:00"/>
    <x v="2"/>
    <x v="0"/>
    <s v="JUK234-KL-1137"/>
    <x v="2"/>
    <x v="6"/>
    <s v="3XL"/>
    <n v="1"/>
    <s v="INR"/>
    <n v="450"/>
    <x v="4"/>
    <s v="India"/>
  </r>
  <r>
    <n v="65"/>
    <s v="ORD23458774"/>
    <n v="1056782"/>
    <x v="1"/>
    <n v="28"/>
    <x v="0"/>
    <d v="2024-06-11T00:00:00"/>
    <x v="2"/>
    <x v="0"/>
    <s v="JUK234-KL-1156"/>
    <x v="2"/>
    <x v="6"/>
    <s v="S"/>
    <n v="1"/>
    <s v="INR"/>
    <n v="500"/>
    <x v="4"/>
    <s v="India"/>
  </r>
  <r>
    <n v="66"/>
    <s v="ORD23458775"/>
    <n v="1067893"/>
    <x v="1"/>
    <n v="29"/>
    <x v="0"/>
    <d v="2024-06-12T00:00:00"/>
    <x v="2"/>
    <x v="0"/>
    <s v="JUK234-KL-1175"/>
    <x v="5"/>
    <x v="6"/>
    <s v="L"/>
    <n v="1"/>
    <s v="INR"/>
    <n v="550"/>
    <x v="4"/>
    <s v="India"/>
  </r>
  <r>
    <n v="67"/>
    <s v="ORD23458776"/>
    <n v="1079004"/>
    <x v="1"/>
    <n v="30"/>
    <x v="0"/>
    <d v="2024-06-13T00:00:00"/>
    <x v="2"/>
    <x v="0"/>
    <s v="JUK234-KL-1194"/>
    <x v="3"/>
    <x v="2"/>
    <s v="L"/>
    <n v="1"/>
    <s v="INR"/>
    <n v="600"/>
    <x v="5"/>
    <s v="India"/>
  </r>
  <r>
    <n v="68"/>
    <s v="ORD23458777"/>
    <n v="1090115"/>
    <x v="1"/>
    <n v="31"/>
    <x v="0"/>
    <d v="2024-06-14T00:00:00"/>
    <x v="2"/>
    <x v="0"/>
    <s v="JUK234-KL-1213"/>
    <x v="3"/>
    <x v="2"/>
    <s v="L"/>
    <n v="1"/>
    <s v="INR"/>
    <n v="650"/>
    <x v="5"/>
    <s v="India"/>
  </r>
  <r>
    <n v="69"/>
    <s v="ORD23458778"/>
    <n v="1101226"/>
    <x v="1"/>
    <n v="32"/>
    <x v="0"/>
    <d v="2024-06-15T00:00:00"/>
    <x v="2"/>
    <x v="0"/>
    <s v="JUK234-KL-1232"/>
    <x v="3"/>
    <x v="2"/>
    <s v="M"/>
    <n v="1"/>
    <s v="INR"/>
    <n v="1200"/>
    <x v="5"/>
    <s v="India"/>
  </r>
  <r>
    <n v="70"/>
    <s v="ORD23458779"/>
    <n v="1112337"/>
    <x v="1"/>
    <n v="33"/>
    <x v="0"/>
    <d v="2024-06-16T00:00:00"/>
    <x v="2"/>
    <x v="0"/>
    <s v="JUK234-KL-1251"/>
    <x v="3"/>
    <x v="2"/>
    <s v="XL"/>
    <n v="1"/>
    <s v="INR"/>
    <n v="1330"/>
    <x v="0"/>
    <s v="India"/>
  </r>
  <r>
    <n v="71"/>
    <s v="ORD23458780"/>
    <n v="1123448"/>
    <x v="1"/>
    <n v="22"/>
    <x v="0"/>
    <d v="2024-06-17T00:00:00"/>
    <x v="2"/>
    <x v="0"/>
    <s v="JUK234-KL-1270"/>
    <x v="3"/>
    <x v="2"/>
    <s v="XL"/>
    <n v="1"/>
    <s v="INR"/>
    <n v="1460"/>
    <x v="1"/>
    <s v="India"/>
  </r>
  <r>
    <n v="72"/>
    <s v="ORD23458781"/>
    <n v="1134559"/>
    <x v="1"/>
    <n v="24"/>
    <x v="0"/>
    <d v="2024-06-18T00:00:00"/>
    <x v="2"/>
    <x v="0"/>
    <s v="JUK234-KL-1289"/>
    <x v="3"/>
    <x v="1"/>
    <s v="XL"/>
    <n v="1"/>
    <s v="INR"/>
    <n v="499"/>
    <x v="0"/>
    <s v="India"/>
  </r>
  <r>
    <n v="73"/>
    <s v="ORD23458782"/>
    <n v="1145670"/>
    <x v="1"/>
    <n v="26"/>
    <x v="0"/>
    <d v="2024-06-19T00:00:00"/>
    <x v="2"/>
    <x v="0"/>
    <s v="JUK234-KL-1308"/>
    <x v="3"/>
    <x v="1"/>
    <s v="XXL"/>
    <n v="1"/>
    <s v="INR"/>
    <n v="500"/>
    <x v="12"/>
    <s v="India"/>
  </r>
  <r>
    <n v="74"/>
    <s v="ORD23458783"/>
    <n v="1156781"/>
    <x v="1"/>
    <n v="28"/>
    <x v="0"/>
    <d v="2024-06-20T00:00:00"/>
    <x v="2"/>
    <x v="0"/>
    <s v="JUK234-KL-1327"/>
    <x v="3"/>
    <x v="1"/>
    <s v="XXL"/>
    <n v="1"/>
    <s v="INR"/>
    <n v="560"/>
    <x v="9"/>
    <s v="India"/>
  </r>
  <r>
    <n v="75"/>
    <s v="ORD23458784"/>
    <n v="1167892"/>
    <x v="1"/>
    <n v="30"/>
    <x v="0"/>
    <d v="2024-06-21T00:00:00"/>
    <x v="2"/>
    <x v="0"/>
    <s v="JUK234-KL-1346"/>
    <x v="4"/>
    <x v="1"/>
    <s v="M"/>
    <n v="1"/>
    <s v="INR"/>
    <n v="620"/>
    <x v="0"/>
    <s v="India"/>
  </r>
  <r>
    <n v="76"/>
    <s v="ORD23458785"/>
    <n v="1179003"/>
    <x v="1"/>
    <n v="32"/>
    <x v="0"/>
    <d v="2024-06-22T00:00:00"/>
    <x v="2"/>
    <x v="0"/>
    <s v="JUK234-KL-1365"/>
    <x v="4"/>
    <x v="1"/>
    <s v="M"/>
    <n v="1"/>
    <s v="INR"/>
    <n v="680"/>
    <x v="9"/>
    <s v="India"/>
  </r>
  <r>
    <n v="77"/>
    <s v="ORD23458786"/>
    <n v="1190114"/>
    <x v="1"/>
    <n v="34"/>
    <x v="0"/>
    <d v="2024-06-23T00:00:00"/>
    <x v="2"/>
    <x v="0"/>
    <s v="JUK234-KL-1384"/>
    <x v="4"/>
    <x v="10"/>
    <s v="M"/>
    <n v="1"/>
    <s v="INR"/>
    <n v="740"/>
    <x v="12"/>
    <s v="India"/>
  </r>
  <r>
    <n v="78"/>
    <s v="ORD23458787"/>
    <n v="1201225"/>
    <x v="1"/>
    <n v="36"/>
    <x v="0"/>
    <d v="2024-06-24T00:00:00"/>
    <x v="2"/>
    <x v="0"/>
    <s v="JUK234-KL-1403"/>
    <x v="6"/>
    <x v="11"/>
    <s v="M"/>
    <n v="1"/>
    <s v="INR"/>
    <n v="800"/>
    <x v="1"/>
    <s v="India"/>
  </r>
  <r>
    <n v="79"/>
    <s v="ORD23458788"/>
    <n v="1212336"/>
    <x v="1"/>
    <n v="38"/>
    <x v="0"/>
    <d v="2024-06-25T00:00:00"/>
    <x v="2"/>
    <x v="0"/>
    <s v="JUK234-KL-1422"/>
    <x v="6"/>
    <x v="11"/>
    <s v="M"/>
    <n v="1"/>
    <s v="INR"/>
    <n v="860"/>
    <x v="1"/>
    <s v="India"/>
  </r>
  <r>
    <n v="80"/>
    <s v="ORD23458789"/>
    <n v="1223447"/>
    <x v="1"/>
    <n v="40"/>
    <x v="0"/>
    <d v="2024-06-26T00:00:00"/>
    <x v="2"/>
    <x v="0"/>
    <s v="JUK234-KL-1441"/>
    <x v="6"/>
    <x v="11"/>
    <s v="L"/>
    <n v="1"/>
    <s v="INR"/>
    <n v="920"/>
    <x v="1"/>
    <s v="India"/>
  </r>
  <r>
    <n v="81"/>
    <s v="ORD23458790"/>
    <n v="1234558"/>
    <x v="1"/>
    <n v="41"/>
    <x v="0"/>
    <d v="2024-06-27T00:00:00"/>
    <x v="2"/>
    <x v="0"/>
    <s v="JUK234-KL-1460"/>
    <x v="8"/>
    <x v="11"/>
    <s v="L"/>
    <n v="1"/>
    <s v="INR"/>
    <n v="980"/>
    <x v="1"/>
    <s v="India"/>
  </r>
  <r>
    <n v="82"/>
    <s v="ORD23458791"/>
    <n v="1245669"/>
    <x v="1"/>
    <n v="42"/>
    <x v="0"/>
    <d v="2024-06-28T00:00:00"/>
    <x v="2"/>
    <x v="0"/>
    <s v="JUK234-KL-1479"/>
    <x v="8"/>
    <x v="11"/>
    <s v="L"/>
    <n v="1"/>
    <s v="INR"/>
    <n v="1040"/>
    <x v="1"/>
    <s v="India"/>
  </r>
  <r>
    <n v="83"/>
    <s v="ORD23458792"/>
    <n v="1256780"/>
    <x v="1"/>
    <n v="43"/>
    <x v="0"/>
    <d v="2024-06-29T00:00:00"/>
    <x v="2"/>
    <x v="0"/>
    <s v="JUK234-KL-1498"/>
    <x v="8"/>
    <x v="1"/>
    <s v="L"/>
    <n v="1"/>
    <s v="INR"/>
    <n v="1100"/>
    <x v="0"/>
    <s v="India"/>
  </r>
  <r>
    <n v="84"/>
    <s v="ORD23458793"/>
    <n v="1267891"/>
    <x v="1"/>
    <n v="44"/>
    <x v="0"/>
    <d v="2024-06-30T00:00:00"/>
    <x v="2"/>
    <x v="0"/>
    <s v="JUK234-KL-1517"/>
    <x v="4"/>
    <x v="1"/>
    <s v="L"/>
    <n v="1"/>
    <s v="INR"/>
    <n v="1160"/>
    <x v="0"/>
    <s v="India"/>
  </r>
  <r>
    <n v="85"/>
    <s v="ORD23458794"/>
    <n v="1279002"/>
    <x v="1"/>
    <n v="45"/>
    <x v="0"/>
    <d v="2024-07-01T00:00:00"/>
    <x v="3"/>
    <x v="0"/>
    <s v="JUK234-KL-1536"/>
    <x v="4"/>
    <x v="1"/>
    <s v="S"/>
    <n v="1"/>
    <s v="INR"/>
    <n v="1220"/>
    <x v="0"/>
    <s v="India"/>
  </r>
  <r>
    <n v="86"/>
    <s v="ORD23458795"/>
    <n v="1290113"/>
    <x v="1"/>
    <n v="46"/>
    <x v="0"/>
    <d v="2024-07-02T00:00:00"/>
    <x v="3"/>
    <x v="0"/>
    <s v="JUK234-KL-1555"/>
    <x v="4"/>
    <x v="1"/>
    <s v="S"/>
    <n v="1"/>
    <s v="INR"/>
    <n v="344"/>
    <x v="0"/>
    <s v="India"/>
  </r>
  <r>
    <n v="87"/>
    <s v="ORD23458796"/>
    <n v="1301224"/>
    <x v="1"/>
    <n v="47"/>
    <x v="0"/>
    <d v="2024-07-03T00:00:00"/>
    <x v="3"/>
    <x v="0"/>
    <s v="JUK234-KL-1574"/>
    <x v="4"/>
    <x v="1"/>
    <s v="S"/>
    <n v="1"/>
    <s v="INR"/>
    <n v="356"/>
    <x v="9"/>
    <s v="India"/>
  </r>
  <r>
    <n v="88"/>
    <s v="ORD23458797"/>
    <n v="1312335"/>
    <x v="1"/>
    <n v="20"/>
    <x v="1"/>
    <d v="2024-07-04T00:00:00"/>
    <x v="3"/>
    <x v="0"/>
    <s v="JUK234-KL-1593"/>
    <x v="1"/>
    <x v="1"/>
    <s v="M"/>
    <n v="1"/>
    <s v="INR"/>
    <n v="368"/>
    <x v="9"/>
    <s v="India"/>
  </r>
  <r>
    <n v="89"/>
    <s v="ORD23458798"/>
    <n v="1323446"/>
    <x v="1"/>
    <n v="21"/>
    <x v="0"/>
    <d v="2024-07-05T00:00:00"/>
    <x v="3"/>
    <x v="0"/>
    <s v="JUK234-KL-1612"/>
    <x v="1"/>
    <x v="1"/>
    <s v="M"/>
    <n v="1"/>
    <s v="INR"/>
    <n v="380"/>
    <x v="9"/>
    <s v="India"/>
  </r>
  <r>
    <n v="90"/>
    <s v="ORD23458799"/>
    <n v="1334557"/>
    <x v="1"/>
    <n v="22"/>
    <x v="0"/>
    <d v="2024-07-06T00:00:00"/>
    <x v="3"/>
    <x v="0"/>
    <s v="JUK234-KL-1631"/>
    <x v="1"/>
    <x v="12"/>
    <s v="M"/>
    <n v="1"/>
    <s v="INR"/>
    <n v="392"/>
    <x v="0"/>
    <s v="India"/>
  </r>
  <r>
    <n v="91"/>
    <s v="ORD23458800"/>
    <n v="1345668"/>
    <x v="1"/>
    <n v="23"/>
    <x v="0"/>
    <d v="2024-07-07T00:00:00"/>
    <x v="3"/>
    <x v="0"/>
    <s v="JUK234-KL-1650"/>
    <x v="2"/>
    <x v="12"/>
    <s v="M"/>
    <n v="1"/>
    <s v="INR"/>
    <n v="404"/>
    <x v="3"/>
    <s v="India"/>
  </r>
  <r>
    <n v="92"/>
    <s v="ORD23458801"/>
    <n v="1356779"/>
    <x v="1"/>
    <n v="24"/>
    <x v="0"/>
    <d v="2024-07-08T00:00:00"/>
    <x v="3"/>
    <x v="0"/>
    <s v="JUK234-KL-1669"/>
    <x v="0"/>
    <x v="12"/>
    <s v="XL"/>
    <n v="1"/>
    <s v="INR"/>
    <n v="416"/>
    <x v="3"/>
    <s v="India"/>
  </r>
  <r>
    <n v="93"/>
    <s v="ORD23458802"/>
    <n v="1367890"/>
    <x v="1"/>
    <n v="25"/>
    <x v="0"/>
    <d v="2024-07-09T00:00:00"/>
    <x v="3"/>
    <x v="0"/>
    <s v="JUK234-KL-1688"/>
    <x v="0"/>
    <x v="11"/>
    <s v="L"/>
    <n v="1"/>
    <s v="INR"/>
    <n v="428"/>
    <x v="3"/>
    <s v="India"/>
  </r>
  <r>
    <n v="94"/>
    <s v="ORD23458803"/>
    <n v="1379001"/>
    <x v="1"/>
    <n v="26"/>
    <x v="0"/>
    <d v="2024-07-10T00:00:00"/>
    <x v="3"/>
    <x v="0"/>
    <s v="JUK234-KL-1707"/>
    <x v="0"/>
    <x v="11"/>
    <s v="XL"/>
    <n v="1"/>
    <s v="INR"/>
    <n v="440"/>
    <x v="4"/>
    <s v="India"/>
  </r>
  <r>
    <n v="95"/>
    <s v="ORD23458804"/>
    <n v="1390112"/>
    <x v="1"/>
    <n v="27"/>
    <x v="0"/>
    <d v="2024-07-11T00:00:00"/>
    <x v="3"/>
    <x v="0"/>
    <s v="JUK234-KL-1726"/>
    <x v="4"/>
    <x v="11"/>
    <s v="XL"/>
    <n v="1"/>
    <s v="INR"/>
    <n v="1080"/>
    <x v="4"/>
    <s v="India"/>
  </r>
  <r>
    <n v="96"/>
    <s v="ORD23458805"/>
    <n v="1401223"/>
    <x v="1"/>
    <n v="19"/>
    <x v="1"/>
    <d v="2024-07-12T00:00:00"/>
    <x v="3"/>
    <x v="0"/>
    <s v="JUK234-KL-1745"/>
    <x v="4"/>
    <x v="11"/>
    <s v="XL"/>
    <n v="1"/>
    <s v="INR"/>
    <n v="1125"/>
    <x v="4"/>
    <s v="India"/>
  </r>
  <r>
    <n v="97"/>
    <s v="ORD23458806"/>
    <n v="1412334"/>
    <x v="1"/>
    <n v="19"/>
    <x v="1"/>
    <d v="2024-07-13T00:00:00"/>
    <x v="3"/>
    <x v="0"/>
    <s v="JUK234-KL-1764"/>
    <x v="4"/>
    <x v="10"/>
    <s v="XL"/>
    <n v="1"/>
    <s v="INR"/>
    <n v="1170"/>
    <x v="4"/>
    <s v="India"/>
  </r>
  <r>
    <n v="98"/>
    <s v="ORD23458807"/>
    <n v="1423445"/>
    <x v="1"/>
    <n v="19"/>
    <x v="1"/>
    <d v="2024-07-14T00:00:00"/>
    <x v="3"/>
    <x v="0"/>
    <s v="JUK234-KL-1783"/>
    <x v="4"/>
    <x v="10"/>
    <s v="XL"/>
    <n v="1"/>
    <s v="INR"/>
    <n v="1215"/>
    <x v="5"/>
    <s v="India"/>
  </r>
  <r>
    <n v="99"/>
    <s v="ORD23458808"/>
    <n v="1434556"/>
    <x v="1"/>
    <n v="19"/>
    <x v="1"/>
    <d v="2024-07-15T00:00:00"/>
    <x v="3"/>
    <x v="0"/>
    <s v="JUK234-KL-1802"/>
    <x v="3"/>
    <x v="10"/>
    <s v="XL"/>
    <n v="1"/>
    <s v="INR"/>
    <n v="1260"/>
    <x v="5"/>
    <s v="India"/>
  </r>
  <r>
    <n v="100"/>
    <s v="ORD23458809"/>
    <n v="1445667"/>
    <x v="1"/>
    <n v="20"/>
    <x v="1"/>
    <d v="2024-07-16T00:00:00"/>
    <x v="3"/>
    <x v="0"/>
    <s v="JUK234-KL-1821"/>
    <x v="3"/>
    <x v="10"/>
    <s v="XXL"/>
    <n v="1"/>
    <s v="INR"/>
    <n v="1305"/>
    <x v="5"/>
    <s v="India"/>
  </r>
  <r>
    <n v="101"/>
    <s v="ORD23458810"/>
    <n v="1456778"/>
    <x v="1"/>
    <n v="20"/>
    <x v="1"/>
    <d v="2024-07-17T00:00:00"/>
    <x v="3"/>
    <x v="0"/>
    <s v="JUK234-KL-1840"/>
    <x v="3"/>
    <x v="10"/>
    <s v="3XL"/>
    <n v="1"/>
    <s v="INR"/>
    <n v="1003"/>
    <x v="2"/>
    <s v="India"/>
  </r>
  <r>
    <n v="102"/>
    <s v="ORD23458811"/>
    <n v="1467889"/>
    <x v="1"/>
    <n v="20"/>
    <x v="1"/>
    <d v="2024-07-18T00:00:00"/>
    <x v="3"/>
    <x v="0"/>
    <s v="JUK234-KL-1859"/>
    <x v="4"/>
    <x v="4"/>
    <s v="XL"/>
    <n v="1"/>
    <s v="INR"/>
    <n v="1030"/>
    <x v="2"/>
    <s v="India"/>
  </r>
  <r>
    <n v="103"/>
    <s v="ORD23458812"/>
    <n v="1479000"/>
    <x v="1"/>
    <n v="20"/>
    <x v="1"/>
    <d v="2024-07-19T00:00:00"/>
    <x v="3"/>
    <x v="0"/>
    <s v="JUK234-KL-1878"/>
    <x v="4"/>
    <x v="4"/>
    <s v="XL"/>
    <n v="1"/>
    <s v="INR"/>
    <n v="1057"/>
    <x v="2"/>
    <s v="India"/>
  </r>
  <r>
    <n v="104"/>
    <s v="ORD23458813"/>
    <n v="1490111"/>
    <x v="1"/>
    <n v="22"/>
    <x v="0"/>
    <d v="2024-07-20T00:00:00"/>
    <x v="3"/>
    <x v="0"/>
    <s v="JUK234-KL-1897"/>
    <x v="4"/>
    <x v="4"/>
    <s v="XL"/>
    <n v="1"/>
    <s v="INR"/>
    <n v="1084"/>
    <x v="4"/>
    <s v="India"/>
  </r>
  <r>
    <n v="105"/>
    <s v="ORD23458814"/>
    <n v="1501222"/>
    <x v="1"/>
    <n v="22"/>
    <x v="0"/>
    <d v="2024-07-21T00:00:00"/>
    <x v="3"/>
    <x v="0"/>
    <s v="JUK234-KL-1916"/>
    <x v="8"/>
    <x v="5"/>
    <s v="XL"/>
    <n v="1"/>
    <s v="INR"/>
    <n v="1111"/>
    <x v="4"/>
    <s v="India"/>
  </r>
  <r>
    <n v="106"/>
    <s v="ORD23458815"/>
    <n v="1512333"/>
    <x v="1"/>
    <n v="22"/>
    <x v="0"/>
    <d v="2024-07-22T00:00:00"/>
    <x v="3"/>
    <x v="0"/>
    <s v="JUK234-KL-1935"/>
    <x v="8"/>
    <x v="12"/>
    <s v="XL"/>
    <n v="1"/>
    <s v="INR"/>
    <n v="1138"/>
    <x v="4"/>
    <s v="India"/>
  </r>
  <r>
    <n v="107"/>
    <s v="ORD23458816"/>
    <n v="1523444"/>
    <x v="1"/>
    <n v="24"/>
    <x v="0"/>
    <d v="2024-07-23T00:00:00"/>
    <x v="3"/>
    <x v="0"/>
    <s v="JUK234-KL-1954"/>
    <x v="8"/>
    <x v="12"/>
    <s v="L"/>
    <n v="1"/>
    <s v="INR"/>
    <n v="1165"/>
    <x v="4"/>
    <s v="India"/>
  </r>
  <r>
    <n v="108"/>
    <s v="ORD23458817"/>
    <n v="1534555"/>
    <x v="1"/>
    <n v="26"/>
    <x v="0"/>
    <d v="2024-07-24T00:00:00"/>
    <x v="3"/>
    <x v="0"/>
    <s v="JUK234-KL-1973"/>
    <x v="7"/>
    <x v="12"/>
    <s v="L"/>
    <n v="1"/>
    <s v="INR"/>
    <n v="1192"/>
    <x v="5"/>
    <s v="India"/>
  </r>
  <r>
    <n v="109"/>
    <s v="ORD23458818"/>
    <n v="1545666"/>
    <x v="1"/>
    <n v="28"/>
    <x v="0"/>
    <d v="2024-07-25T00:00:00"/>
    <x v="3"/>
    <x v="0"/>
    <s v="JUK234-KL-1992"/>
    <x v="7"/>
    <x v="12"/>
    <s v="L"/>
    <n v="1"/>
    <s v="INR"/>
    <n v="1219"/>
    <x v="5"/>
    <s v="India"/>
  </r>
  <r>
    <n v="110"/>
    <s v="ORD23458819"/>
    <n v="1556777"/>
    <x v="1"/>
    <n v="30"/>
    <x v="0"/>
    <d v="2024-07-26T00:00:00"/>
    <x v="3"/>
    <x v="0"/>
    <s v="JUK234-KL-2011"/>
    <x v="7"/>
    <x v="5"/>
    <s v="L"/>
    <n v="1"/>
    <s v="INR"/>
    <n v="1246"/>
    <x v="0"/>
    <s v="India"/>
  </r>
  <r>
    <n v="111"/>
    <s v="ORD23458820"/>
    <n v="1567888"/>
    <x v="1"/>
    <n v="32"/>
    <x v="0"/>
    <d v="2024-07-27T00:00:00"/>
    <x v="3"/>
    <x v="0"/>
    <s v="JUK234-KL-2030"/>
    <x v="6"/>
    <x v="5"/>
    <s v="L"/>
    <n v="1"/>
    <s v="INR"/>
    <n v="1273"/>
    <x v="0"/>
    <s v="India"/>
  </r>
  <r>
    <n v="112"/>
    <s v="ORD23458821"/>
    <n v="1578999"/>
    <x v="1"/>
    <n v="34"/>
    <x v="0"/>
    <d v="2024-07-28T00:00:00"/>
    <x v="3"/>
    <x v="0"/>
    <s v="JUK234-KL-2049"/>
    <x v="6"/>
    <x v="5"/>
    <s v="L"/>
    <n v="1"/>
    <s v="INR"/>
    <n v="1300"/>
    <x v="0"/>
    <s v="India"/>
  </r>
  <r>
    <n v="113"/>
    <s v="ORD23458822"/>
    <n v="1590110"/>
    <x v="1"/>
    <n v="36"/>
    <x v="0"/>
    <d v="2024-07-29T00:00:00"/>
    <x v="3"/>
    <x v="0"/>
    <s v="JUK234-KL-2068"/>
    <x v="6"/>
    <x v="5"/>
    <s v="L"/>
    <n v="1"/>
    <s v="INR"/>
    <n v="1327"/>
    <x v="9"/>
    <s v="India"/>
  </r>
  <r>
    <n v="114"/>
    <s v="ORD23458823"/>
    <n v="1601221"/>
    <x v="1"/>
    <n v="22"/>
    <x v="0"/>
    <d v="2024-07-30T00:00:00"/>
    <x v="3"/>
    <x v="0"/>
    <s v="JUK234-KL-2087"/>
    <x v="5"/>
    <x v="13"/>
    <s v="L"/>
    <n v="1"/>
    <s v="INR"/>
    <n v="1354"/>
    <x v="9"/>
    <s v="India"/>
  </r>
  <r>
    <n v="115"/>
    <s v="ORD23458824"/>
    <n v="1612332"/>
    <x v="1"/>
    <n v="25"/>
    <x v="0"/>
    <d v="2024-07-31T00:00:00"/>
    <x v="3"/>
    <x v="0"/>
    <s v="JUK234-KL-2106"/>
    <x v="5"/>
    <x v="13"/>
    <s v="XXL"/>
    <n v="1"/>
    <s v="INR"/>
    <n v="1381"/>
    <x v="9"/>
    <s v="India"/>
  </r>
  <r>
    <n v="116"/>
    <s v="ORD23458825"/>
    <n v="1623443"/>
    <x v="1"/>
    <n v="28"/>
    <x v="0"/>
    <d v="2024-08-01T00:00:00"/>
    <x v="4"/>
    <x v="0"/>
    <s v="JUK234-KL-2125"/>
    <x v="5"/>
    <x v="12"/>
    <s v="3XL"/>
    <n v="1"/>
    <s v="INR"/>
    <n v="1408"/>
    <x v="5"/>
    <s v="India"/>
  </r>
  <r>
    <n v="117"/>
    <s v="ORD23458826"/>
    <n v="1634554"/>
    <x v="1"/>
    <n v="31"/>
    <x v="0"/>
    <d v="2024-08-02T00:00:00"/>
    <x v="4"/>
    <x v="1"/>
    <s v="JUK234-KL-2144"/>
    <x v="3"/>
    <x v="12"/>
    <s v="4XL"/>
    <n v="1"/>
    <s v="INR"/>
    <n v="240"/>
    <x v="5"/>
    <s v="India"/>
  </r>
  <r>
    <n v="118"/>
    <s v="ORD23458827"/>
    <n v="1645665"/>
    <x v="1"/>
    <n v="34"/>
    <x v="0"/>
    <d v="2024-08-03T00:00:00"/>
    <x v="4"/>
    <x v="1"/>
    <s v="JUK234-KL-2163"/>
    <x v="3"/>
    <x v="12"/>
    <s v="4XL"/>
    <n v="1"/>
    <s v="INR"/>
    <n v="450"/>
    <x v="5"/>
    <s v="India"/>
  </r>
  <r>
    <n v="119"/>
    <s v="ORD23458828"/>
    <n v="1656776"/>
    <x v="1"/>
    <n v="18"/>
    <x v="1"/>
    <d v="2024-08-04T00:00:00"/>
    <x v="4"/>
    <x v="0"/>
    <s v="JUK234-KL-2182"/>
    <x v="3"/>
    <x v="4"/>
    <s v="4XL"/>
    <n v="1"/>
    <s v="INR"/>
    <n v="660"/>
    <x v="5"/>
    <s v="India"/>
  </r>
  <r>
    <n v="120"/>
    <s v="ORD23458829"/>
    <n v="1667887"/>
    <x v="1"/>
    <n v="19"/>
    <x v="1"/>
    <d v="2024-08-05T00:00:00"/>
    <x v="4"/>
    <x v="0"/>
    <s v="JUK234-KL-2201"/>
    <x v="3"/>
    <x v="5"/>
    <s v="4XL"/>
    <n v="1"/>
    <s v="INR"/>
    <n v="870"/>
    <x v="7"/>
    <s v="India"/>
  </r>
  <r>
    <n v="121"/>
    <s v="ORD23458830"/>
    <n v="1678998"/>
    <x v="1"/>
    <n v="20"/>
    <x v="1"/>
    <d v="2024-08-06T00:00:00"/>
    <x v="4"/>
    <x v="0"/>
    <s v="JUK234-KL-2220"/>
    <x v="0"/>
    <x v="4"/>
    <s v="XL"/>
    <n v="1"/>
    <s v="INR"/>
    <n v="1080"/>
    <x v="7"/>
    <s v="India"/>
  </r>
  <r>
    <n v="122"/>
    <s v="ORD23458831"/>
    <n v="1690109"/>
    <x v="1"/>
    <n v="21"/>
    <x v="0"/>
    <d v="2024-08-07T00:00:00"/>
    <x v="4"/>
    <x v="0"/>
    <s v="JUK234-KL-2239"/>
    <x v="0"/>
    <x v="4"/>
    <s v="S"/>
    <n v="1"/>
    <s v="INR"/>
    <n v="1290"/>
    <x v="7"/>
    <s v="India"/>
  </r>
  <r>
    <n v="123"/>
    <s v="ORD23458832"/>
    <n v="1701220"/>
    <x v="1"/>
    <n v="22"/>
    <x v="0"/>
    <d v="2024-08-08T00:00:00"/>
    <x v="4"/>
    <x v="0"/>
    <s v="JUK234-KL-2258"/>
    <x v="0"/>
    <x v="4"/>
    <s v="S"/>
    <n v="1"/>
    <s v="INR"/>
    <n v="1500"/>
    <x v="7"/>
    <s v="India"/>
  </r>
  <r>
    <n v="124"/>
    <s v="ORD23458833"/>
    <n v="1712331"/>
    <x v="1"/>
    <n v="23"/>
    <x v="0"/>
    <d v="2024-08-09T00:00:00"/>
    <x v="4"/>
    <x v="0"/>
    <s v="JUK234-KL-2277"/>
    <x v="0"/>
    <x v="4"/>
    <s v="S"/>
    <n v="1"/>
    <s v="INR"/>
    <n v="2000"/>
    <x v="0"/>
    <s v="India"/>
  </r>
  <r>
    <n v="125"/>
    <s v="ORD23458834"/>
    <n v="1723442"/>
    <x v="1"/>
    <n v="24"/>
    <x v="0"/>
    <d v="2024-08-10T00:00:00"/>
    <x v="4"/>
    <x v="0"/>
    <s v="JUK234-KL-2296"/>
    <x v="4"/>
    <x v="4"/>
    <s v="S"/>
    <n v="1"/>
    <s v="INR"/>
    <n v="2020"/>
    <x v="0"/>
    <s v="India"/>
  </r>
  <r>
    <n v="126"/>
    <s v="ORD23458835"/>
    <n v="1734553"/>
    <x v="1"/>
    <n v="25"/>
    <x v="0"/>
    <d v="2024-08-11T00:00:00"/>
    <x v="4"/>
    <x v="2"/>
    <s v="JUK234-KL-2315"/>
    <x v="2"/>
    <x v="12"/>
    <s v="S"/>
    <n v="1"/>
    <s v="INR"/>
    <n v="540"/>
    <x v="12"/>
    <s v="India"/>
  </r>
  <r>
    <n v="127"/>
    <s v="ORD23458836"/>
    <n v="1745664"/>
    <x v="1"/>
    <n v="26"/>
    <x v="0"/>
    <d v="2024-08-12T00:00:00"/>
    <x v="4"/>
    <x v="0"/>
    <s v="JUK234-KL-2334"/>
    <x v="2"/>
    <x v="12"/>
    <s v="S"/>
    <n v="1"/>
    <s v="INR"/>
    <n v="2060"/>
    <x v="6"/>
    <s v="India"/>
  </r>
  <r>
    <n v="128"/>
    <s v="ORD23458837"/>
    <n v="1756775"/>
    <x v="1"/>
    <n v="27"/>
    <x v="0"/>
    <d v="2024-08-13T00:00:00"/>
    <x v="4"/>
    <x v="0"/>
    <s v="JUK234-KL-2353"/>
    <x v="2"/>
    <x v="12"/>
    <s v="M"/>
    <n v="1"/>
    <s v="INR"/>
    <n v="476"/>
    <x v="6"/>
    <s v="India"/>
  </r>
  <r>
    <n v="129"/>
    <s v="ORD23458838"/>
    <n v="1767886"/>
    <x v="1"/>
    <n v="28"/>
    <x v="0"/>
    <d v="2024-08-14T00:00:00"/>
    <x v="4"/>
    <x v="0"/>
    <s v="SET674-TL-456"/>
    <x v="1"/>
    <x v="0"/>
    <s v="M"/>
    <n v="1"/>
    <s v="INR"/>
    <n v="489"/>
    <x v="6"/>
    <s v="India"/>
  </r>
  <r>
    <n v="130"/>
    <s v="ORD23458839"/>
    <n v="1778997"/>
    <x v="1"/>
    <n v="29"/>
    <x v="0"/>
    <d v="2024-08-15T00:00:00"/>
    <x v="4"/>
    <x v="0"/>
    <s v="SET674-TL-488"/>
    <x v="1"/>
    <x v="6"/>
    <s v="M"/>
    <n v="1"/>
    <s v="INR"/>
    <n v="502"/>
    <x v="6"/>
    <s v="India"/>
  </r>
  <r>
    <n v="131"/>
    <s v="ORD23458840"/>
    <n v="1790108"/>
    <x v="1"/>
    <n v="30"/>
    <x v="0"/>
    <d v="2024-08-16T00:00:00"/>
    <x v="4"/>
    <x v="0"/>
    <s v="SET674-TL-520"/>
    <x v="1"/>
    <x v="6"/>
    <s v="M"/>
    <n v="1"/>
    <s v="INR"/>
    <n v="515"/>
    <x v="6"/>
    <s v="India"/>
  </r>
  <r>
    <n v="132"/>
    <s v="ORD23458841"/>
    <n v="1801219"/>
    <x v="1"/>
    <n v="31"/>
    <x v="0"/>
    <d v="2024-08-17T00:00:00"/>
    <x v="4"/>
    <x v="0"/>
    <s v="SET674-TL-552"/>
    <x v="1"/>
    <x v="6"/>
    <s v="XXL"/>
    <n v="1"/>
    <s v="INR"/>
    <n v="700"/>
    <x v="6"/>
    <s v="India"/>
  </r>
  <r>
    <n v="133"/>
    <s v="ORD23458842"/>
    <n v="1812330"/>
    <x v="0"/>
    <n v="32"/>
    <x v="0"/>
    <d v="2024-08-18T00:00:00"/>
    <x v="4"/>
    <x v="0"/>
    <s v="SET674-TL-584"/>
    <x v="1"/>
    <x v="6"/>
    <s v="XXL"/>
    <n v="1"/>
    <s v="INR"/>
    <n v="789"/>
    <x v="6"/>
    <s v="India"/>
  </r>
  <r>
    <n v="134"/>
    <s v="ORD23458843"/>
    <n v="1823441"/>
    <x v="0"/>
    <n v="33"/>
    <x v="0"/>
    <d v="2024-08-19T00:00:00"/>
    <x v="4"/>
    <x v="0"/>
    <s v="SET674-TL-616"/>
    <x v="4"/>
    <x v="7"/>
    <s v="XXL"/>
    <n v="1"/>
    <s v="INR"/>
    <n v="878"/>
    <x v="6"/>
    <s v="India"/>
  </r>
  <r>
    <n v="135"/>
    <s v="ORD23458844"/>
    <n v="1834552"/>
    <x v="0"/>
    <n v="50"/>
    <x v="2"/>
    <d v="2024-08-20T00:00:00"/>
    <x v="4"/>
    <x v="0"/>
    <s v="SET674-TL-648"/>
    <x v="4"/>
    <x v="0"/>
    <s v="XXL"/>
    <n v="1"/>
    <s v="INR"/>
    <n v="967"/>
    <x v="4"/>
    <s v="India"/>
  </r>
  <r>
    <n v="136"/>
    <s v="ORD23458845"/>
    <n v="1845663"/>
    <x v="0"/>
    <n v="35"/>
    <x v="0"/>
    <d v="2024-08-21T00:00:00"/>
    <x v="4"/>
    <x v="0"/>
    <s v="SET674-TL-680"/>
    <x v="6"/>
    <x v="11"/>
    <s v="XXL"/>
    <n v="1"/>
    <s v="INR"/>
    <n v="1056"/>
    <x v="11"/>
    <s v="India"/>
  </r>
  <r>
    <n v="137"/>
    <s v="ORD23458846"/>
    <n v="1856774"/>
    <x v="0"/>
    <n v="36"/>
    <x v="0"/>
    <d v="2024-08-22T00:00:00"/>
    <x v="4"/>
    <x v="0"/>
    <s v="SET674-TL-712"/>
    <x v="6"/>
    <x v="10"/>
    <s v="XXL"/>
    <n v="1"/>
    <s v="INR"/>
    <n v="1145"/>
    <x v="11"/>
    <s v="India"/>
  </r>
  <r>
    <n v="138"/>
    <s v="ORD23458847"/>
    <n v="1867885"/>
    <x v="1"/>
    <n v="33"/>
    <x v="0"/>
    <d v="2024-08-23T00:00:00"/>
    <x v="4"/>
    <x v="0"/>
    <s v="SET674-TL-744"/>
    <x v="6"/>
    <x v="14"/>
    <s v="XXL"/>
    <n v="1"/>
    <s v="INR"/>
    <n v="1234"/>
    <x v="11"/>
    <s v="India"/>
  </r>
  <r>
    <n v="139"/>
    <s v="ORD23458848"/>
    <n v="1878996"/>
    <x v="1"/>
    <n v="33"/>
    <x v="0"/>
    <d v="2024-08-24T00:00:00"/>
    <x v="4"/>
    <x v="0"/>
    <s v="SET674-TL-776"/>
    <x v="6"/>
    <x v="13"/>
    <s v="XL"/>
    <n v="1"/>
    <s v="INR"/>
    <n v="1323"/>
    <x v="11"/>
    <s v="India"/>
  </r>
  <r>
    <n v="140"/>
    <s v="ORD23458849"/>
    <n v="1890107"/>
    <x v="1"/>
    <n v="33"/>
    <x v="0"/>
    <d v="2024-08-25T00:00:00"/>
    <x v="4"/>
    <x v="0"/>
    <s v="SET674-TL-808"/>
    <x v="8"/>
    <x v="13"/>
    <s v="XL"/>
    <n v="1"/>
    <s v="INR"/>
    <n v="1412"/>
    <x v="0"/>
    <s v="India"/>
  </r>
  <r>
    <n v="141"/>
    <s v="ORD23458850"/>
    <n v="1901218"/>
    <x v="1"/>
    <n v="33"/>
    <x v="0"/>
    <d v="2024-08-26T00:00:00"/>
    <x v="4"/>
    <x v="0"/>
    <s v="SET674-TL-840"/>
    <x v="8"/>
    <x v="13"/>
    <s v="XL"/>
    <n v="1"/>
    <s v="INR"/>
    <n v="998"/>
    <x v="5"/>
    <s v="India"/>
  </r>
  <r>
    <n v="142"/>
    <s v="ORD23458851"/>
    <n v="1912329"/>
    <x v="1"/>
    <n v="33"/>
    <x v="0"/>
    <d v="2024-08-27T00:00:00"/>
    <x v="4"/>
    <x v="0"/>
    <s v="SET674-TL-872"/>
    <x v="8"/>
    <x v="13"/>
    <s v="XL"/>
    <n v="1"/>
    <s v="INR"/>
    <n v="876"/>
    <x v="5"/>
    <s v="India"/>
  </r>
  <r>
    <n v="143"/>
    <s v="ORD23458852"/>
    <n v="1923440"/>
    <x v="1"/>
    <n v="51"/>
    <x v="2"/>
    <d v="2024-08-28T00:00:00"/>
    <x v="4"/>
    <x v="0"/>
    <s v="SET674-TL-904"/>
    <x v="8"/>
    <x v="6"/>
    <s v="XL"/>
    <n v="1"/>
    <s v="INR"/>
    <n v="876"/>
    <x v="5"/>
    <s v="India"/>
  </r>
  <r>
    <n v="144"/>
    <s v="ORD23458853"/>
    <n v="1934551"/>
    <x v="1"/>
    <n v="20"/>
    <x v="1"/>
    <d v="2024-08-29T00:00:00"/>
    <x v="4"/>
    <x v="0"/>
    <s v="SET674-TL-936"/>
    <x v="1"/>
    <x v="6"/>
    <s v="XXL"/>
    <n v="1"/>
    <s v="INR"/>
    <n v="678"/>
    <x v="3"/>
    <s v="India"/>
  </r>
  <r>
    <n v="145"/>
    <s v="ORD23458854"/>
    <n v="1945662"/>
    <x v="0"/>
    <n v="23"/>
    <x v="0"/>
    <d v="2024-08-30T00:00:00"/>
    <x v="4"/>
    <x v="0"/>
    <s v="SET674-TL-968"/>
    <x v="4"/>
    <x v="10"/>
    <s v="3XL"/>
    <n v="1"/>
    <s v="INR"/>
    <n v="699"/>
    <x v="3"/>
    <s v="India"/>
  </r>
  <r>
    <n v="146"/>
    <s v="ORD23458855"/>
    <n v="1956773"/>
    <x v="0"/>
    <n v="26"/>
    <x v="0"/>
    <d v="2024-08-31T00:00:00"/>
    <x v="4"/>
    <x v="0"/>
    <s v="SET674-TL-1000"/>
    <x v="2"/>
    <x v="11"/>
    <s v="3XL"/>
    <n v="1"/>
    <s v="INR"/>
    <n v="720"/>
    <x v="3"/>
    <s v="India"/>
  </r>
  <r>
    <n v="147"/>
    <s v="ORD23458856"/>
    <n v="1967884"/>
    <x v="0"/>
    <n v="29"/>
    <x v="0"/>
    <d v="2024-09-01T00:00:00"/>
    <x v="5"/>
    <x v="0"/>
    <s v="SET674-TL-1032"/>
    <x v="2"/>
    <x v="11"/>
    <s v="3XL"/>
    <n v="1"/>
    <s v="INR"/>
    <n v="741"/>
    <x v="3"/>
    <s v="India"/>
  </r>
  <r>
    <n v="148"/>
    <s v="ORD23458857"/>
    <n v="1978995"/>
    <x v="0"/>
    <n v="50"/>
    <x v="2"/>
    <d v="2024-09-02T00:00:00"/>
    <x v="5"/>
    <x v="0"/>
    <s v="SET674-TL-1064"/>
    <x v="3"/>
    <x v="7"/>
    <s v="3XL"/>
    <n v="1"/>
    <s v="INR"/>
    <n v="762"/>
    <x v="15"/>
    <s v="India"/>
  </r>
  <r>
    <n v="149"/>
    <s v="ORD23458858"/>
    <n v="1990106"/>
    <x v="0"/>
    <n v="35"/>
    <x v="0"/>
    <d v="2024-09-03T00:00:00"/>
    <x v="5"/>
    <x v="0"/>
    <s v="SET674-TL-1096"/>
    <x v="3"/>
    <x v="0"/>
    <s v="3XL"/>
    <n v="1"/>
    <s v="INR"/>
    <n v="783"/>
    <x v="9"/>
    <s v="India"/>
  </r>
  <r>
    <n v="150"/>
    <s v="ORD23458859"/>
    <n v="2001217"/>
    <x v="0"/>
    <n v="38"/>
    <x v="0"/>
    <d v="2024-09-04T00:00:00"/>
    <x v="5"/>
    <x v="0"/>
    <s v="SET674-TL-1128"/>
    <x v="3"/>
    <x v="14"/>
    <s v="XS"/>
    <n v="1"/>
    <s v="INR"/>
    <n v="457"/>
    <x v="9"/>
    <s v="India"/>
  </r>
  <r>
    <n v="151"/>
    <s v="ORD23458860"/>
    <n v="2012328"/>
    <x v="1"/>
    <n v="29"/>
    <x v="0"/>
    <d v="2024-09-05T00:00:00"/>
    <x v="5"/>
    <x v="0"/>
    <s v="SET674-TL-1160"/>
    <x v="3"/>
    <x v="10"/>
    <s v="XS"/>
    <n v="1"/>
    <s v="INR"/>
    <n v="800"/>
    <x v="9"/>
    <s v="India"/>
  </r>
  <r>
    <n v="152"/>
    <s v="ORD23458861"/>
    <n v="2023439"/>
    <x v="1"/>
    <n v="30"/>
    <x v="0"/>
    <d v="2024-09-05T00:00:00"/>
    <x v="5"/>
    <x v="0"/>
    <s v="SET674-TL-1192"/>
    <x v="3"/>
    <x v="10"/>
    <s v="XS"/>
    <n v="1"/>
    <s v="INR"/>
    <n v="869"/>
    <x v="9"/>
    <s v="India"/>
  </r>
  <r>
    <n v="153"/>
    <s v="ORD23458862"/>
    <n v="2034550"/>
    <x v="1"/>
    <n v="31"/>
    <x v="0"/>
    <d v="2024-09-05T00:00:00"/>
    <x v="5"/>
    <x v="0"/>
    <s v="SET674-TL-1224"/>
    <x v="4"/>
    <x v="10"/>
    <s v="XS"/>
    <n v="1"/>
    <s v="INR"/>
    <n v="938"/>
    <x v="6"/>
    <s v="India"/>
  </r>
  <r>
    <n v="154"/>
    <s v="ORD23458863"/>
    <n v="2045661"/>
    <x v="1"/>
    <n v="32"/>
    <x v="0"/>
    <d v="2024-09-08T00:00:00"/>
    <x v="5"/>
    <x v="0"/>
    <s v="SET674-TL-1256"/>
    <x v="4"/>
    <x v="10"/>
    <s v="XS"/>
    <n v="1"/>
    <s v="INR"/>
    <n v="1007"/>
    <x v="0"/>
    <s v="India"/>
  </r>
  <r>
    <n v="155"/>
    <s v="ORD23458864"/>
    <n v="2056772"/>
    <x v="1"/>
    <n v="33"/>
    <x v="0"/>
    <d v="2024-09-09T00:00:00"/>
    <x v="5"/>
    <x v="0"/>
    <s v="SET674-TL-1288"/>
    <x v="4"/>
    <x v="10"/>
    <s v="L"/>
    <n v="1"/>
    <s v="INR"/>
    <n v="1076"/>
    <x v="5"/>
    <s v="India"/>
  </r>
  <r>
    <n v="156"/>
    <s v="ORD23458865"/>
    <n v="2067883"/>
    <x v="1"/>
    <n v="34"/>
    <x v="0"/>
    <d v="2024-09-10T00:00:00"/>
    <x v="5"/>
    <x v="0"/>
    <s v="SET674-TL-1320"/>
    <x v="4"/>
    <x v="9"/>
    <s v="L"/>
    <n v="1"/>
    <s v="INR"/>
    <n v="345"/>
    <x v="4"/>
    <s v="India"/>
  </r>
  <r>
    <n v="157"/>
    <s v="ORD23458866"/>
    <n v="2078994"/>
    <x v="1"/>
    <n v="35"/>
    <x v="0"/>
    <d v="2024-09-11T00:00:00"/>
    <x v="5"/>
    <x v="0"/>
    <s v="SET674-TL-1352"/>
    <x v="4"/>
    <x v="9"/>
    <s v="L"/>
    <n v="1"/>
    <s v="INR"/>
    <n v="380"/>
    <x v="3"/>
    <s v="India"/>
  </r>
  <r>
    <n v="158"/>
    <s v="ORD23458867"/>
    <n v="2090105"/>
    <x v="1"/>
    <n v="20"/>
    <x v="1"/>
    <d v="2024-09-12T00:00:00"/>
    <x v="5"/>
    <x v="0"/>
    <s v="SET674-TL-1384"/>
    <x v="4"/>
    <x v="9"/>
    <s v="M"/>
    <n v="1"/>
    <s v="INR"/>
    <n v="415"/>
    <x v="3"/>
    <s v="India"/>
  </r>
  <r>
    <n v="159"/>
    <s v="ORD23458868"/>
    <n v="2101216"/>
    <x v="1"/>
    <n v="45"/>
    <x v="0"/>
    <d v="2024-09-13T00:00:00"/>
    <x v="5"/>
    <x v="0"/>
    <s v="SET674-TL-1416"/>
    <x v="4"/>
    <x v="9"/>
    <s v="M"/>
    <n v="1"/>
    <s v="INR"/>
    <n v="450"/>
    <x v="3"/>
    <s v="India"/>
  </r>
  <r>
    <n v="160"/>
    <s v="ORD23458869"/>
    <n v="2112327"/>
    <x v="1"/>
    <n v="46"/>
    <x v="0"/>
    <d v="2024-09-14T00:00:00"/>
    <x v="5"/>
    <x v="0"/>
    <s v="SET674-TL-1448"/>
    <x v="4"/>
    <x v="9"/>
    <s v="M"/>
    <n v="1"/>
    <s v="INR"/>
    <n v="485"/>
    <x v="3"/>
    <s v="India"/>
  </r>
  <r>
    <n v="161"/>
    <s v="ORD23458870"/>
    <n v="2123438"/>
    <x v="1"/>
    <n v="20"/>
    <x v="1"/>
    <d v="2024-09-15T00:00:00"/>
    <x v="5"/>
    <x v="0"/>
    <s v="SET674-TL-1480"/>
    <x v="1"/>
    <x v="14"/>
    <s v="M"/>
    <n v="1"/>
    <s v="INR"/>
    <n v="520"/>
    <x v="6"/>
    <s v="India"/>
  </r>
  <r>
    <n v="162"/>
    <s v="ORD23458871"/>
    <n v="2134549"/>
    <x v="1"/>
    <n v="22"/>
    <x v="0"/>
    <d v="2024-09-16T00:00:00"/>
    <x v="5"/>
    <x v="0"/>
    <s v="SET674-TL-1512"/>
    <x v="1"/>
    <x v="15"/>
    <s v="M"/>
    <n v="1"/>
    <s v="INR"/>
    <n v="555"/>
    <x v="6"/>
    <s v="India"/>
  </r>
  <r>
    <n v="163"/>
    <s v="ORD23458872"/>
    <n v="2145660"/>
    <x v="1"/>
    <n v="24"/>
    <x v="0"/>
    <d v="2024-09-17T00:00:00"/>
    <x v="5"/>
    <x v="0"/>
    <s v="SET674-TL-1544"/>
    <x v="1"/>
    <x v="10"/>
    <s v="M"/>
    <n v="1"/>
    <s v="INR"/>
    <n v="690"/>
    <x v="6"/>
    <s v="India"/>
  </r>
  <r>
    <n v="164"/>
    <s v="ORD23458873"/>
    <n v="2156771"/>
    <x v="1"/>
    <n v="26"/>
    <x v="0"/>
    <d v="2024-09-18T00:00:00"/>
    <x v="5"/>
    <x v="0"/>
    <s v="SET674-TL-1576"/>
    <x v="5"/>
    <x v="10"/>
    <s v="XL"/>
    <n v="1"/>
    <s v="INR"/>
    <n v="740"/>
    <x v="5"/>
    <s v="India"/>
  </r>
  <r>
    <n v="165"/>
    <s v="ORD23458874"/>
    <n v="2167882"/>
    <x v="1"/>
    <n v="28"/>
    <x v="0"/>
    <d v="2024-09-19T00:00:00"/>
    <x v="5"/>
    <x v="0"/>
    <s v="SET674-TL-1608"/>
    <x v="5"/>
    <x v="10"/>
    <s v="XL"/>
    <n v="1"/>
    <s v="INR"/>
    <n v="790"/>
    <x v="5"/>
    <s v="India"/>
  </r>
  <r>
    <n v="166"/>
    <s v="ORD23458875"/>
    <n v="2178993"/>
    <x v="0"/>
    <n v="30"/>
    <x v="0"/>
    <d v="2024-09-20T00:00:00"/>
    <x v="5"/>
    <x v="0"/>
    <s v="SET674-TL-1640"/>
    <x v="5"/>
    <x v="11"/>
    <s v="XL"/>
    <n v="1"/>
    <s v="INR"/>
    <n v="840"/>
    <x v="5"/>
    <s v="India"/>
  </r>
  <r>
    <n v="167"/>
    <s v="ORD23458876"/>
    <n v="2190104"/>
    <x v="0"/>
    <n v="22"/>
    <x v="0"/>
    <d v="2024-09-21T00:00:00"/>
    <x v="5"/>
    <x v="0"/>
    <s v="SET674-TL-1672"/>
    <x v="5"/>
    <x v="11"/>
    <s v="XL"/>
    <n v="1"/>
    <s v="INR"/>
    <n v="890"/>
    <x v="5"/>
    <s v="India"/>
  </r>
  <r>
    <n v="168"/>
    <s v="ORD23458877"/>
    <n v="2201215"/>
    <x v="0"/>
    <n v="22"/>
    <x v="0"/>
    <d v="2024-09-22T00:00:00"/>
    <x v="5"/>
    <x v="0"/>
    <s v="SET674-TL-1704"/>
    <x v="4"/>
    <x v="11"/>
    <s v="XL"/>
    <n v="1"/>
    <s v="INR"/>
    <n v="940"/>
    <x v="15"/>
    <s v="India"/>
  </r>
  <r>
    <n v="169"/>
    <s v="ORD23458878"/>
    <n v="2212326"/>
    <x v="0"/>
    <n v="33"/>
    <x v="0"/>
    <d v="2024-09-23T00:00:00"/>
    <x v="5"/>
    <x v="0"/>
    <s v="SET674-TL-1736"/>
    <x v="3"/>
    <x v="11"/>
    <s v="XL"/>
    <n v="1"/>
    <s v="INR"/>
    <n v="990"/>
    <x v="11"/>
    <s v="India"/>
  </r>
  <r>
    <n v="170"/>
    <s v="ORD23458879"/>
    <n v="2223437"/>
    <x v="0"/>
    <n v="44"/>
    <x v="0"/>
    <d v="2024-09-24T00:00:00"/>
    <x v="5"/>
    <x v="0"/>
    <s v="SET674-TL-1768"/>
    <x v="3"/>
    <x v="14"/>
    <s v="XXL"/>
    <n v="1"/>
    <s v="INR"/>
    <n v="1040"/>
    <x v="4"/>
    <s v="India"/>
  </r>
  <r>
    <n v="171"/>
    <s v="ORD23458880"/>
    <n v="2234548"/>
    <x v="0"/>
    <n v="55"/>
    <x v="2"/>
    <d v="2024-09-25T00:00:00"/>
    <x v="5"/>
    <x v="0"/>
    <s v="SET674-TL-1800"/>
    <x v="3"/>
    <x v="14"/>
    <s v="XXL"/>
    <n v="1"/>
    <s v="INR"/>
    <n v="1090"/>
    <x v="4"/>
    <s v="India"/>
  </r>
  <r>
    <n v="172"/>
    <s v="ORD23458881"/>
    <n v="2245659"/>
    <x v="0"/>
    <n v="27"/>
    <x v="0"/>
    <d v="2024-09-26T00:00:00"/>
    <x v="5"/>
    <x v="0"/>
    <s v="SET674-TL-1832"/>
    <x v="3"/>
    <x v="7"/>
    <s v="XXL"/>
    <n v="1"/>
    <s v="INR"/>
    <n v="1140"/>
    <x v="4"/>
    <s v="India"/>
  </r>
  <r>
    <n v="173"/>
    <s v="ORD23458882"/>
    <n v="2256770"/>
    <x v="0"/>
    <n v="29"/>
    <x v="0"/>
    <d v="2024-09-27T00:00:00"/>
    <x v="5"/>
    <x v="0"/>
    <s v="SET674-TL-1864"/>
    <x v="3"/>
    <x v="7"/>
    <s v="XXL"/>
    <n v="1"/>
    <s v="INR"/>
    <n v="1190"/>
    <x v="9"/>
    <s v="India"/>
  </r>
  <r>
    <n v="174"/>
    <s v="ORD23458883"/>
    <n v="2267881"/>
    <x v="0"/>
    <n v="31"/>
    <x v="0"/>
    <d v="2024-09-28T00:00:00"/>
    <x v="5"/>
    <x v="0"/>
    <s v="SET674-TL-1896"/>
    <x v="0"/>
    <x v="7"/>
    <s v="S"/>
    <n v="1"/>
    <s v="INR"/>
    <n v="1240"/>
    <x v="9"/>
    <s v="India"/>
  </r>
  <r>
    <n v="175"/>
    <s v="ORD23458884"/>
    <n v="2278992"/>
    <x v="0"/>
    <n v="33"/>
    <x v="0"/>
    <d v="2024-09-29T00:00:00"/>
    <x v="5"/>
    <x v="0"/>
    <s v="SET674-TL-1928"/>
    <x v="0"/>
    <x v="0"/>
    <s v="S"/>
    <n v="1"/>
    <s v="INR"/>
    <n v="1290"/>
    <x v="9"/>
    <s v="India"/>
  </r>
  <r>
    <n v="176"/>
    <s v="ORD23458885"/>
    <n v="2290103"/>
    <x v="1"/>
    <n v="35"/>
    <x v="0"/>
    <d v="2024-09-30T00:00:00"/>
    <x v="5"/>
    <x v="0"/>
    <s v="SET674-TL-1960"/>
    <x v="0"/>
    <x v="5"/>
    <s v="S"/>
    <n v="1"/>
    <s v="INR"/>
    <n v="1340"/>
    <x v="9"/>
    <s v="India"/>
  </r>
  <r>
    <n v="177"/>
    <s v="ORD23458886"/>
    <n v="2301214"/>
    <x v="1"/>
    <n v="37"/>
    <x v="0"/>
    <d v="2024-10-01T00:00:00"/>
    <x v="6"/>
    <x v="0"/>
    <s v="SET674-TL-1992"/>
    <x v="5"/>
    <x v="5"/>
    <s v="S"/>
    <n v="1"/>
    <s v="INR"/>
    <n v="1390"/>
    <x v="0"/>
    <s v="India"/>
  </r>
  <r>
    <n v="178"/>
    <s v="ORD23458887"/>
    <n v="2312325"/>
    <x v="1"/>
    <n v="39"/>
    <x v="0"/>
    <d v="2024-10-02T00:00:00"/>
    <x v="6"/>
    <x v="0"/>
    <s v="SET674-TL-2024"/>
    <x v="5"/>
    <x v="14"/>
    <s v="S"/>
    <n v="1"/>
    <s v="INR"/>
    <n v="2000"/>
    <x v="0"/>
    <s v="India"/>
  </r>
  <r>
    <n v="179"/>
    <s v="ORD23458888"/>
    <n v="2323436"/>
    <x v="1"/>
    <n v="41"/>
    <x v="0"/>
    <d v="2024-10-03T00:00:00"/>
    <x v="6"/>
    <x v="0"/>
    <s v="SET674-TL-2056"/>
    <x v="5"/>
    <x v="14"/>
    <s v="S"/>
    <n v="1"/>
    <s v="INR"/>
    <n v="2087"/>
    <x v="0"/>
    <s v="India"/>
  </r>
  <r>
    <n v="180"/>
    <s v="ORD23458889"/>
    <n v="2334547"/>
    <x v="1"/>
    <n v="43"/>
    <x v="0"/>
    <d v="2024-10-04T00:00:00"/>
    <x v="6"/>
    <x v="0"/>
    <s v="SET674-TL-2088"/>
    <x v="4"/>
    <x v="14"/>
    <s v="S"/>
    <n v="1"/>
    <s v="INR"/>
    <n v="2174"/>
    <x v="6"/>
    <s v="India"/>
  </r>
  <r>
    <n v="181"/>
    <s v="ORD23458890"/>
    <n v="2345658"/>
    <x v="1"/>
    <n v="22"/>
    <x v="0"/>
    <d v="2024-10-05T00:00:00"/>
    <x v="6"/>
    <x v="0"/>
    <s v="SET674-TL-2120"/>
    <x v="4"/>
    <x v="14"/>
    <s v="M"/>
    <n v="1"/>
    <s v="INR"/>
    <n v="2261"/>
    <x v="6"/>
    <s v="India"/>
  </r>
  <r>
    <n v="182"/>
    <s v="ORD23458891"/>
    <n v="2356769"/>
    <x v="1"/>
    <n v="24"/>
    <x v="0"/>
    <d v="2024-10-05T00:00:00"/>
    <x v="6"/>
    <x v="0"/>
    <s v="SET674-TL-2152"/>
    <x v="4"/>
    <x v="11"/>
    <s v="M"/>
    <n v="1"/>
    <s v="INR"/>
    <n v="2348"/>
    <x v="6"/>
    <s v="India"/>
  </r>
  <r>
    <n v="183"/>
    <s v="ORD23458892"/>
    <n v="2367880"/>
    <x v="1"/>
    <n v="26"/>
    <x v="0"/>
    <d v="2024-10-05T00:00:00"/>
    <x v="6"/>
    <x v="0"/>
    <s v="SET674-TL-2184"/>
    <x v="4"/>
    <x v="11"/>
    <s v="M"/>
    <n v="1"/>
    <s v="INR"/>
    <n v="2435"/>
    <x v="6"/>
    <s v="India"/>
  </r>
  <r>
    <n v="184"/>
    <s v="ORD23458893"/>
    <n v="2378991"/>
    <x v="1"/>
    <n v="28"/>
    <x v="0"/>
    <d v="2024-10-05T00:00:00"/>
    <x v="6"/>
    <x v="0"/>
    <s v="SET674-TL-2216"/>
    <x v="4"/>
    <x v="11"/>
    <s v="M"/>
    <n v="1"/>
    <s v="INR"/>
    <n v="2522"/>
    <x v="6"/>
    <s v="India"/>
  </r>
  <r>
    <n v="185"/>
    <s v="ORD23458894"/>
    <n v="2390102"/>
    <x v="1"/>
    <n v="30"/>
    <x v="0"/>
    <d v="2024-10-05T00:00:00"/>
    <x v="6"/>
    <x v="0"/>
    <s v="SET674-TL-2248"/>
    <x v="6"/>
    <x v="10"/>
    <s v="XL"/>
    <n v="1"/>
    <s v="INR"/>
    <n v="2609"/>
    <x v="6"/>
    <s v="India"/>
  </r>
  <r>
    <n v="186"/>
    <s v="ORD23458895"/>
    <n v="2401213"/>
    <x v="1"/>
    <n v="32"/>
    <x v="0"/>
    <d v="2024-10-06T00:00:00"/>
    <x v="6"/>
    <x v="0"/>
    <s v="SET674-TL-2280"/>
    <x v="6"/>
    <x v="10"/>
    <s v="XL"/>
    <n v="1"/>
    <s v="INR"/>
    <n v="1033"/>
    <x v="5"/>
    <s v="India"/>
  </r>
  <r>
    <n v="187"/>
    <s v="ORD23458896"/>
    <n v="2412324"/>
    <x v="1"/>
    <n v="53"/>
    <x v="2"/>
    <d v="2024-10-06T00:00:00"/>
    <x v="6"/>
    <x v="0"/>
    <s v="SET674-TL-2312"/>
    <x v="6"/>
    <x v="10"/>
    <s v="XL"/>
    <n v="1"/>
    <s v="INR"/>
    <n v="1087"/>
    <x v="5"/>
    <s v="India"/>
  </r>
  <r>
    <n v="188"/>
    <s v="ORD23458897"/>
    <n v="2423435"/>
    <x v="0"/>
    <n v="36"/>
    <x v="0"/>
    <d v="2024-10-06T00:00:00"/>
    <x v="6"/>
    <x v="0"/>
    <s v="SET674-TL-2344"/>
    <x v="6"/>
    <x v="14"/>
    <s v="XL"/>
    <n v="1"/>
    <s v="INR"/>
    <n v="1141"/>
    <x v="5"/>
    <s v="India"/>
  </r>
  <r>
    <n v="189"/>
    <s v="ORD23458898"/>
    <n v="2434546"/>
    <x v="0"/>
    <n v="30"/>
    <x v="0"/>
    <d v="2024-10-06T00:00:00"/>
    <x v="6"/>
    <x v="0"/>
    <s v="SET674-TL-2376"/>
    <x v="8"/>
    <x v="14"/>
    <s v="XL"/>
    <n v="1"/>
    <s v="INR"/>
    <n v="1195"/>
    <x v="5"/>
    <s v="India"/>
  </r>
  <r>
    <n v="190"/>
    <s v="ORD23458899"/>
    <n v="2445657"/>
    <x v="0"/>
    <n v="33"/>
    <x v="0"/>
    <d v="2024-10-07T00:00:00"/>
    <x v="6"/>
    <x v="0"/>
    <s v="SET674-TL-2408"/>
    <x v="8"/>
    <x v="14"/>
    <s v="XL"/>
    <n v="1"/>
    <s v="INR"/>
    <n v="1249"/>
    <x v="4"/>
    <s v="India"/>
  </r>
  <r>
    <n v="191"/>
    <s v="ORD23458900"/>
    <n v="2456768"/>
    <x v="0"/>
    <n v="36"/>
    <x v="0"/>
    <d v="2024-10-08T00:00:00"/>
    <x v="6"/>
    <x v="0"/>
    <s v="SET674-TL-2440"/>
    <x v="8"/>
    <x v="11"/>
    <s v="XXL"/>
    <n v="1"/>
    <s v="INR"/>
    <n v="1303"/>
    <x v="4"/>
    <s v="India"/>
  </r>
  <r>
    <n v="192"/>
    <s v="ORD23458901"/>
    <n v="2467879"/>
    <x v="0"/>
    <n v="39"/>
    <x v="0"/>
    <d v="2024-10-09T00:00:00"/>
    <x v="6"/>
    <x v="0"/>
    <s v="SET674-TL-2472"/>
    <x v="4"/>
    <x v="10"/>
    <s v="XXL"/>
    <n v="1"/>
    <s v="INR"/>
    <n v="1357"/>
    <x v="4"/>
    <s v="India"/>
  </r>
  <r>
    <n v="193"/>
    <s v="ORD23458902"/>
    <n v="2478990"/>
    <x v="0"/>
    <n v="51"/>
    <x v="2"/>
    <d v="2024-10-10T00:00:00"/>
    <x v="6"/>
    <x v="0"/>
    <s v="SET674-TL-2504"/>
    <x v="7"/>
    <x v="10"/>
    <s v="XXL"/>
    <n v="1"/>
    <s v="INR"/>
    <n v="1411"/>
    <x v="4"/>
    <s v="India"/>
  </r>
  <r>
    <n v="194"/>
    <s v="ORD23458903"/>
    <n v="2490101"/>
    <x v="1"/>
    <n v="45"/>
    <x v="0"/>
    <d v="2024-10-11T00:00:00"/>
    <x v="6"/>
    <x v="0"/>
    <s v="SET674-TL-2536"/>
    <x v="5"/>
    <x v="4"/>
    <s v="XXL"/>
    <n v="1"/>
    <s v="INR"/>
    <n v="1465"/>
    <x v="7"/>
    <s v="India"/>
  </r>
  <r>
    <n v="195"/>
    <s v="ORD23458904"/>
    <n v="2501212"/>
    <x v="0"/>
    <n v="48"/>
    <x v="0"/>
    <d v="2024-10-12T00:00:00"/>
    <x v="6"/>
    <x v="0"/>
    <s v="SET674-TL-2568"/>
    <x v="5"/>
    <x v="7"/>
    <s v="XXL"/>
    <n v="1"/>
    <s v="INR"/>
    <n v="1519"/>
    <x v="7"/>
    <s v="India"/>
  </r>
  <r>
    <n v="196"/>
    <s v="ORD23458905"/>
    <n v="2512323"/>
    <x v="1"/>
    <n v="30"/>
    <x v="0"/>
    <d v="2024-10-13T00:00:00"/>
    <x v="6"/>
    <x v="0"/>
    <s v="SET674-TL-2600"/>
    <x v="5"/>
    <x v="5"/>
    <s v="L"/>
    <n v="1"/>
    <s v="INR"/>
    <n v="705"/>
    <x v="7"/>
    <s v="India"/>
  </r>
  <r>
    <n v="197"/>
    <s v="ORD23458906"/>
    <n v="2523434"/>
    <x v="0"/>
    <n v="30"/>
    <x v="0"/>
    <d v="2024-10-14T00:00:00"/>
    <x v="6"/>
    <x v="0"/>
    <s v="SET674-TL-2632"/>
    <x v="5"/>
    <x v="10"/>
    <s v="L"/>
    <n v="1"/>
    <s v="INR"/>
    <n v="756"/>
    <x v="7"/>
    <s v="India"/>
  </r>
  <r>
    <n v="198"/>
    <s v="ORD23458907"/>
    <n v="2534545"/>
    <x v="0"/>
    <n v="20"/>
    <x v="1"/>
    <d v="2024-10-15T00:00:00"/>
    <x v="6"/>
    <x v="0"/>
    <s v="SET674-TL-2664"/>
    <x v="5"/>
    <x v="0"/>
    <s v="L"/>
    <n v="1"/>
    <s v="INR"/>
    <n v="807"/>
    <x v="6"/>
    <s v="India"/>
  </r>
  <r>
    <n v="199"/>
    <s v="ORD23458908"/>
    <n v="2545656"/>
    <x v="1"/>
    <n v="19"/>
    <x v="1"/>
    <d v="2024-10-16T00:00:00"/>
    <x v="6"/>
    <x v="0"/>
    <s v="SET674-TL-2696"/>
    <x v="8"/>
    <x v="2"/>
    <s v="L"/>
    <n v="1"/>
    <s v="INR"/>
    <n v="858"/>
    <x v="6"/>
    <s v="India"/>
  </r>
  <r>
    <n v="200"/>
    <s v="ORD23458909"/>
    <n v="2556767"/>
    <x v="1"/>
    <n v="20"/>
    <x v="1"/>
    <d v="2024-10-17T00:00:00"/>
    <x v="6"/>
    <x v="0"/>
    <s v="SET674-TL-2728"/>
    <x v="3"/>
    <x v="2"/>
    <s v="M"/>
    <n v="1"/>
    <s v="INR"/>
    <n v="909"/>
    <x v="6"/>
    <s v="India"/>
  </r>
  <r>
    <n v="201"/>
    <s v="ORD23458910"/>
    <n v="2567878"/>
    <x v="1"/>
    <n v="20"/>
    <x v="1"/>
    <d v="2024-10-18T00:00:00"/>
    <x v="6"/>
    <x v="0"/>
    <s v="SET674-TL-2760"/>
    <x v="3"/>
    <x v="2"/>
    <s v="M"/>
    <n v="1"/>
    <s v="INR"/>
    <n v="960"/>
    <x v="6"/>
    <s v="India"/>
  </r>
  <r>
    <n v="202"/>
    <s v="ORD23458911"/>
    <n v="2578989"/>
    <x v="1"/>
    <n v="20"/>
    <x v="1"/>
    <d v="2024-10-19T00:00:00"/>
    <x v="6"/>
    <x v="0"/>
    <s v="SET674-TL-2792"/>
    <x v="3"/>
    <x v="2"/>
    <s v="M"/>
    <n v="1"/>
    <s v="INR"/>
    <n v="1011"/>
    <x v="7"/>
    <s v="India"/>
  </r>
  <r>
    <n v="203"/>
    <s v="ORD23458912"/>
    <n v="2590100"/>
    <x v="0"/>
    <n v="22"/>
    <x v="0"/>
    <d v="2024-10-20T00:00:00"/>
    <x v="6"/>
    <x v="0"/>
    <s v="SET674-TL-2824"/>
    <x v="8"/>
    <x v="11"/>
    <s v="M"/>
    <n v="1"/>
    <s v="INR"/>
    <n v="1062"/>
    <x v="7"/>
    <s v="India"/>
  </r>
  <r>
    <n v="204"/>
    <s v="ORD23458913"/>
    <n v="2601211"/>
    <x v="1"/>
    <n v="23"/>
    <x v="0"/>
    <d v="2024-10-21T00:00:00"/>
    <x v="6"/>
    <x v="0"/>
    <s v="SET674-TL-2856"/>
    <x v="8"/>
    <x v="1"/>
    <s v="XXL"/>
    <n v="1"/>
    <s v="INR"/>
    <n v="1113"/>
    <x v="7"/>
    <s v="India"/>
  </r>
  <r>
    <n v="205"/>
    <s v="ORD23458914"/>
    <n v="2612322"/>
    <x v="1"/>
    <n v="24"/>
    <x v="0"/>
    <d v="2024-10-22T00:00:00"/>
    <x v="6"/>
    <x v="0"/>
    <s v="SET674-TL-2888"/>
    <x v="8"/>
    <x v="1"/>
    <s v="XXL"/>
    <n v="1"/>
    <s v="INR"/>
    <n v="1164"/>
    <x v="5"/>
    <s v="India"/>
  </r>
  <r>
    <n v="206"/>
    <s v="ORD23458915"/>
    <n v="2623433"/>
    <x v="1"/>
    <n v="25"/>
    <x v="0"/>
    <d v="2024-10-23T00:00:00"/>
    <x v="6"/>
    <x v="0"/>
    <s v="SET674-TL-2920"/>
    <x v="4"/>
    <x v="1"/>
    <s v="XXL"/>
    <n v="1"/>
    <s v="INR"/>
    <n v="1215"/>
    <x v="4"/>
    <s v="India"/>
  </r>
  <r>
    <n v="207"/>
    <s v="ORD23458916"/>
    <n v="2634544"/>
    <x v="1"/>
    <n v="26"/>
    <x v="0"/>
    <d v="2024-10-24T00:00:00"/>
    <x v="6"/>
    <x v="0"/>
    <s v="SET674-TL-2952"/>
    <x v="4"/>
    <x v="2"/>
    <s v="XXL"/>
    <n v="1"/>
    <s v="INR"/>
    <n v="1266"/>
    <x v="4"/>
    <s v="India"/>
  </r>
  <r>
    <n v="208"/>
    <s v="ORD23458917"/>
    <n v="2645655"/>
    <x v="1"/>
    <n v="27"/>
    <x v="0"/>
    <d v="2024-10-25T00:00:00"/>
    <x v="6"/>
    <x v="0"/>
    <s v="SET674-TL-2984"/>
    <x v="4"/>
    <x v="2"/>
    <s v="3XL"/>
    <n v="1"/>
    <s v="INR"/>
    <n v="1317"/>
    <x v="5"/>
    <s v="India"/>
  </r>
  <r>
    <n v="209"/>
    <s v="ORD23458918"/>
    <n v="2656766"/>
    <x v="1"/>
    <n v="28"/>
    <x v="0"/>
    <d v="2024-10-26T00:00:00"/>
    <x v="6"/>
    <x v="0"/>
    <s v="SET674-TL-3016"/>
    <x v="4"/>
    <x v="2"/>
    <s v="XS"/>
    <n v="1"/>
    <s v="INR"/>
    <n v="1368"/>
    <x v="4"/>
    <s v="India"/>
  </r>
  <r>
    <n v="210"/>
    <s v="ORD23458919"/>
    <n v="2667877"/>
    <x v="0"/>
    <n v="29"/>
    <x v="0"/>
    <d v="2024-10-27T00:00:00"/>
    <x v="6"/>
    <x v="0"/>
    <s v="SET674-TL-3048"/>
    <x v="5"/>
    <x v="14"/>
    <s v="XS"/>
    <n v="1"/>
    <s v="INR"/>
    <n v="1419"/>
    <x v="15"/>
    <s v="India"/>
  </r>
  <r>
    <n v="211"/>
    <s v="ORD23458920"/>
    <n v="2678988"/>
    <x v="0"/>
    <n v="30"/>
    <x v="0"/>
    <d v="2024-10-28T00:00:00"/>
    <x v="6"/>
    <x v="0"/>
    <s v="SET674-TL-3080"/>
    <x v="5"/>
    <x v="15"/>
    <s v="XS"/>
    <n v="1"/>
    <s v="INR"/>
    <n v="1470"/>
    <x v="5"/>
    <s v="India"/>
  </r>
  <r>
    <n v="212"/>
    <s v="ORD23458921"/>
    <n v="2690099"/>
    <x v="0"/>
    <n v="31"/>
    <x v="0"/>
    <d v="2024-10-29T00:00:00"/>
    <x v="6"/>
    <x v="0"/>
    <s v="SET674-TL-3112"/>
    <x v="5"/>
    <x v="11"/>
    <s v="XS"/>
    <n v="1"/>
    <s v="INR"/>
    <n v="1521"/>
    <x v="15"/>
    <s v="India"/>
  </r>
  <r>
    <n v="213"/>
    <s v="ORD23458922"/>
    <n v="2701210"/>
    <x v="0"/>
    <n v="32"/>
    <x v="0"/>
    <d v="2024-10-30T00:00:00"/>
    <x v="6"/>
    <x v="0"/>
    <s v="SET674-TL-3144"/>
    <x v="6"/>
    <x v="10"/>
    <s v="L"/>
    <n v="1"/>
    <s v="INR"/>
    <n v="1572"/>
    <x v="15"/>
    <s v="India"/>
  </r>
  <r>
    <n v="214"/>
    <s v="ORD23458923"/>
    <n v="2712321"/>
    <x v="0"/>
    <n v="33"/>
    <x v="0"/>
    <d v="2024-10-31T00:00:00"/>
    <x v="6"/>
    <x v="0"/>
    <s v="SET674-TL-3176"/>
    <x v="6"/>
    <x v="11"/>
    <s v="L"/>
    <n v="1"/>
    <s v="INR"/>
    <n v="1623"/>
    <x v="15"/>
    <s v="India"/>
  </r>
  <r>
    <n v="215"/>
    <s v="ORD23458924"/>
    <n v="2723432"/>
    <x v="1"/>
    <n v="25"/>
    <x v="0"/>
    <d v="2024-11-01T00:00:00"/>
    <x v="7"/>
    <x v="0"/>
    <s v="SET674-TL-3208"/>
    <x v="6"/>
    <x v="10"/>
    <s v="L"/>
    <n v="1"/>
    <s v="INR"/>
    <n v="590"/>
    <x v="15"/>
    <s v="India"/>
  </r>
  <r>
    <n v="216"/>
    <s v="ORD23458925"/>
    <n v="2734543"/>
    <x v="1"/>
    <n v="44"/>
    <x v="0"/>
    <d v="2024-11-02T00:00:00"/>
    <x v="7"/>
    <x v="0"/>
    <s v="SET674-TL-3240"/>
    <x v="6"/>
    <x v="5"/>
    <s v="L"/>
    <n v="1"/>
    <s v="INR"/>
    <n v="890"/>
    <x v="6"/>
    <s v="India"/>
  </r>
  <r>
    <n v="217"/>
    <s v="ORD23458926"/>
    <n v="2745654"/>
    <x v="1"/>
    <n v="45"/>
    <x v="0"/>
    <d v="2024-11-03T00:00:00"/>
    <x v="7"/>
    <x v="1"/>
    <s v="SET674-TL-3272"/>
    <x v="7"/>
    <x v="5"/>
    <s v="L"/>
    <n v="1"/>
    <s v="INR"/>
    <n v="765"/>
    <x v="6"/>
    <s v="India"/>
  </r>
  <r>
    <n v="218"/>
    <s v="ORD23458927"/>
    <n v="2756765"/>
    <x v="1"/>
    <n v="46"/>
    <x v="0"/>
    <d v="2024-11-04T00:00:00"/>
    <x v="7"/>
    <x v="0"/>
    <s v="SET674-TL-3304"/>
    <x v="7"/>
    <x v="5"/>
    <s v="XXL"/>
    <n v="1"/>
    <s v="INR"/>
    <n v="569"/>
    <x v="6"/>
    <s v="India"/>
  </r>
  <r>
    <n v="219"/>
    <s v="ORD23458928"/>
    <n v="2767876"/>
    <x v="1"/>
    <n v="20"/>
    <x v="1"/>
    <d v="2024-11-05T00:00:00"/>
    <x v="7"/>
    <x v="0"/>
    <s v="SET674-TL-3336"/>
    <x v="4"/>
    <x v="14"/>
    <s v="XXL"/>
    <n v="1"/>
    <s v="INR"/>
    <n v="373"/>
    <x v="15"/>
    <s v="India"/>
  </r>
  <r>
    <n v="220"/>
    <s v="ORD23458929"/>
    <n v="2778987"/>
    <x v="1"/>
    <n v="22"/>
    <x v="0"/>
    <d v="2024-11-06T00:00:00"/>
    <x v="7"/>
    <x v="0"/>
    <s v="SET674-TL-3368"/>
    <x v="1"/>
    <x v="14"/>
    <s v="XXL"/>
    <n v="1"/>
    <s v="INR"/>
    <n v="756"/>
    <x v="15"/>
    <s v="India"/>
  </r>
  <r>
    <n v="221"/>
    <s v="ORD23458930"/>
    <n v="2790098"/>
    <x v="1"/>
    <n v="30"/>
    <x v="0"/>
    <d v="2024-11-07T00:00:00"/>
    <x v="7"/>
    <x v="0"/>
    <s v="SET674-TL-3400"/>
    <x v="1"/>
    <x v="14"/>
    <s v="XXL"/>
    <n v="1"/>
    <s v="INR"/>
    <n v="1008"/>
    <x v="15"/>
    <s v="India"/>
  </r>
  <r>
    <n v="222"/>
    <s v="ORD23458931"/>
    <n v="2801209"/>
    <x v="1"/>
    <n v="33"/>
    <x v="0"/>
    <d v="2024-11-08T00:00:00"/>
    <x v="7"/>
    <x v="0"/>
    <s v="SET674-TL-3432"/>
    <x v="1"/>
    <x v="14"/>
    <s v="XXL"/>
    <n v="1"/>
    <s v="INR"/>
    <n v="1056"/>
    <x v="0"/>
    <s v="India"/>
  </r>
  <r>
    <n v="223"/>
    <s v="ORD23458932"/>
    <n v="2812320"/>
    <x v="0"/>
    <n v="36"/>
    <x v="0"/>
    <d v="2024-11-09T00:00:00"/>
    <x v="7"/>
    <x v="2"/>
    <s v="SET674-TL-3464"/>
    <x v="1"/>
    <x v="11"/>
    <s v="XXL"/>
    <n v="1"/>
    <s v="INR"/>
    <n v="1104"/>
    <x v="5"/>
    <s v="India"/>
  </r>
  <r>
    <n v="224"/>
    <s v="ORD23458933"/>
    <n v="2823431"/>
    <x v="0"/>
    <n v="39"/>
    <x v="0"/>
    <d v="2024-11-10T00:00:00"/>
    <x v="7"/>
    <x v="0"/>
    <s v="SET674-TL-3496"/>
    <x v="1"/>
    <x v="7"/>
    <s v="XL"/>
    <n v="1"/>
    <s v="INR"/>
    <n v="1152"/>
    <x v="1"/>
    <s v="India"/>
  </r>
  <r>
    <n v="225"/>
    <s v="ORD23458934"/>
    <n v="2834542"/>
    <x v="0"/>
    <n v="42"/>
    <x v="0"/>
    <d v="2024-11-11T00:00:00"/>
    <x v="7"/>
    <x v="2"/>
    <s v="SET674-TL-3528"/>
    <x v="4"/>
    <x v="0"/>
    <s v="XL"/>
    <n v="1"/>
    <s v="INR"/>
    <n v="1200"/>
    <x v="1"/>
    <s v="India"/>
  </r>
  <r>
    <n v="226"/>
    <s v="ORD23458935"/>
    <n v="2845653"/>
    <x v="0"/>
    <n v="45"/>
    <x v="0"/>
    <d v="2024-11-12T00:00:00"/>
    <x v="7"/>
    <x v="0"/>
    <s v="SET674-TL-3560"/>
    <x v="4"/>
    <x v="0"/>
    <s v="XL"/>
    <n v="1"/>
    <s v="INR"/>
    <n v="1248"/>
    <x v="1"/>
    <s v="India"/>
  </r>
  <r>
    <n v="227"/>
    <s v="ORD23458936"/>
    <n v="2856764"/>
    <x v="0"/>
    <n v="22"/>
    <x v="0"/>
    <d v="2024-11-13T00:00:00"/>
    <x v="7"/>
    <x v="0"/>
    <s v="SET674-TL-3592"/>
    <x v="4"/>
    <x v="10"/>
    <s v="XL"/>
    <n v="1"/>
    <s v="INR"/>
    <n v="1296"/>
    <x v="5"/>
    <s v="India"/>
  </r>
  <r>
    <n v="228"/>
    <s v="ORD23458937"/>
    <n v="2867875"/>
    <x v="0"/>
    <n v="50"/>
    <x v="2"/>
    <d v="2024-11-14T00:00:00"/>
    <x v="7"/>
    <x v="0"/>
    <s v="SET674-TL-3624"/>
    <x v="2"/>
    <x v="7"/>
    <s v="L"/>
    <n v="1"/>
    <s v="INR"/>
    <n v="1345"/>
    <x v="5"/>
    <s v="India"/>
  </r>
  <r>
    <n v="229"/>
    <s v="ORD23458938"/>
    <n v="2878986"/>
    <x v="0"/>
    <n v="24"/>
    <x v="0"/>
    <d v="2024-11-15T00:00:00"/>
    <x v="7"/>
    <x v="0"/>
    <s v="SET674-TL-3656"/>
    <x v="2"/>
    <x v="11"/>
    <s v="M"/>
    <n v="1"/>
    <s v="INR"/>
    <n v="1378"/>
    <x v="5"/>
    <s v="India"/>
  </r>
  <r>
    <n v="230"/>
    <s v="ORD23458939"/>
    <n v="2890097"/>
    <x v="0"/>
    <n v="25"/>
    <x v="0"/>
    <d v="2024-11-16T00:00:00"/>
    <x v="7"/>
    <x v="0"/>
    <s v="SET674-TL-3688"/>
    <x v="2"/>
    <x v="10"/>
    <s v="M"/>
    <n v="1"/>
    <s v="INR"/>
    <n v="1411"/>
    <x v="5"/>
    <s v="India"/>
  </r>
  <r>
    <n v="231"/>
    <s v="ORD23458940"/>
    <n v="2901208"/>
    <x v="1"/>
    <n v="26"/>
    <x v="0"/>
    <d v="2024-11-17T00:00:00"/>
    <x v="7"/>
    <x v="0"/>
    <s v="SET674-TL-3720"/>
    <x v="2"/>
    <x v="6"/>
    <s v="M"/>
    <n v="1"/>
    <s v="INR"/>
    <n v="1444"/>
    <x v="0"/>
    <s v="India"/>
  </r>
  <r>
    <n v="232"/>
    <s v="ORD23458941"/>
    <n v="2912319"/>
    <x v="1"/>
    <n v="27"/>
    <x v="0"/>
    <d v="2024-11-18T00:00:00"/>
    <x v="7"/>
    <x v="0"/>
    <s v="SET674-TL-3752"/>
    <x v="2"/>
    <x v="6"/>
    <s v="M"/>
    <n v="1"/>
    <s v="INR"/>
    <n v="1477"/>
    <x v="9"/>
    <s v="India"/>
  </r>
  <r>
    <n v="233"/>
    <s v="ORD23458942"/>
    <n v="2923430"/>
    <x v="1"/>
    <n v="28"/>
    <x v="0"/>
    <d v="2024-11-19T00:00:00"/>
    <x v="7"/>
    <x v="0"/>
    <s v="SET674-TL-3784"/>
    <x v="2"/>
    <x v="6"/>
    <s v="M"/>
    <n v="1"/>
    <s v="INR"/>
    <n v="1510"/>
    <x v="9"/>
    <s v="India"/>
  </r>
  <r>
    <n v="234"/>
    <s v="ORD23458943"/>
    <n v="2934541"/>
    <x v="1"/>
    <n v="51"/>
    <x v="2"/>
    <d v="2024-11-20T00:00:00"/>
    <x v="7"/>
    <x v="0"/>
    <s v="SET674-TL-3816"/>
    <x v="5"/>
    <x v="6"/>
    <s v="XS"/>
    <n v="1"/>
    <s v="INR"/>
    <n v="1543"/>
    <x v="0"/>
    <s v="India"/>
  </r>
  <r>
    <n v="235"/>
    <s v="ORD23458944"/>
    <n v="2945652"/>
    <x v="1"/>
    <n v="30"/>
    <x v="0"/>
    <d v="2024-11-21T00:00:00"/>
    <x v="7"/>
    <x v="0"/>
    <s v="SET674-TL-3848"/>
    <x v="5"/>
    <x v="6"/>
    <s v="S"/>
    <n v="1"/>
    <s v="INR"/>
    <n v="678"/>
    <x v="0"/>
    <s v="India"/>
  </r>
  <r>
    <n v="236"/>
    <s v="ORD23458945"/>
    <n v="2956763"/>
    <x v="0"/>
    <n v="52"/>
    <x v="2"/>
    <d v="2024-11-22T00:00:00"/>
    <x v="7"/>
    <x v="0"/>
    <s v="SET674-TL-3880"/>
    <x v="5"/>
    <x v="8"/>
    <s v="S"/>
    <n v="1"/>
    <s v="INR"/>
    <n v="900"/>
    <x v="0"/>
    <s v="India"/>
  </r>
  <r>
    <n v="237"/>
    <s v="ORD23458946"/>
    <n v="2967874"/>
    <x v="0"/>
    <n v="32"/>
    <x v="0"/>
    <d v="2024-11-22T00:00:00"/>
    <x v="7"/>
    <x v="0"/>
    <s v="SET674-TL-3912"/>
    <x v="5"/>
    <x v="7"/>
    <s v="S"/>
    <n v="1"/>
    <s v="INR"/>
    <n v="1122"/>
    <x v="0"/>
    <s v="India"/>
  </r>
  <r>
    <n v="238"/>
    <s v="ORD23458947"/>
    <n v="2978985"/>
    <x v="0"/>
    <n v="33"/>
    <x v="0"/>
    <d v="2024-11-23T00:00:00"/>
    <x v="7"/>
    <x v="0"/>
    <s v="SET674-TL-3944"/>
    <x v="7"/>
    <x v="11"/>
    <s v="S"/>
    <n v="1"/>
    <s v="INR"/>
    <n v="1344"/>
    <x v="4"/>
    <s v="India"/>
  </r>
  <r>
    <n v="239"/>
    <s v="ORD23458948"/>
    <n v="2990096"/>
    <x v="0"/>
    <n v="22"/>
    <x v="0"/>
    <d v="2024-11-24T00:00:00"/>
    <x v="7"/>
    <x v="0"/>
    <s v="SET674-TL-3976"/>
    <x v="7"/>
    <x v="11"/>
    <s v="XS"/>
    <n v="1"/>
    <s v="INR"/>
    <n v="887"/>
    <x v="4"/>
    <s v="India"/>
  </r>
  <r>
    <n v="240"/>
    <s v="ORD23458949"/>
    <n v="3001207"/>
    <x v="1"/>
    <n v="22"/>
    <x v="0"/>
    <d v="2024-11-25T00:00:00"/>
    <x v="7"/>
    <x v="0"/>
    <s v="SET674-TL-4008"/>
    <x v="7"/>
    <x v="6"/>
    <s v="XS"/>
    <n v="1"/>
    <s v="INR"/>
    <n v="456"/>
    <x v="4"/>
    <s v="India"/>
  </r>
  <r>
    <n v="241"/>
    <s v="ORD23458950"/>
    <n v="3012318"/>
    <x v="1"/>
    <n v="22"/>
    <x v="0"/>
    <d v="2024-11-25T00:00:00"/>
    <x v="7"/>
    <x v="0"/>
    <s v="SET674-TL-4040"/>
    <x v="7"/>
    <x v="6"/>
    <s v="XS"/>
    <n v="1"/>
    <s v="INR"/>
    <n v="653"/>
    <x v="5"/>
    <s v="India"/>
  </r>
  <r>
    <n v="242"/>
    <s v="ORD23458951"/>
    <n v="3023429"/>
    <x v="1"/>
    <n v="22"/>
    <x v="0"/>
    <d v="2024-11-25T00:00:00"/>
    <x v="7"/>
    <x v="0"/>
    <s v="SET674-TL-4072"/>
    <x v="7"/>
    <x v="6"/>
    <s v="XS"/>
    <n v="1"/>
    <s v="INR"/>
    <n v="850"/>
    <x v="5"/>
    <s v="India"/>
  </r>
  <r>
    <n v="243"/>
    <s v="ORD23458952"/>
    <n v="3034540"/>
    <x v="1"/>
    <n v="24"/>
    <x v="0"/>
    <d v="2024-11-25T00:00:00"/>
    <x v="7"/>
    <x v="0"/>
    <s v="SET674-TL-4104"/>
    <x v="0"/>
    <x v="6"/>
    <s v="XS"/>
    <n v="1"/>
    <s v="INR"/>
    <n v="1047"/>
    <x v="5"/>
    <s v="India"/>
  </r>
  <r>
    <n v="244"/>
    <s v="ORD23458953"/>
    <n v="3045651"/>
    <x v="1"/>
    <n v="33"/>
    <x v="0"/>
    <d v="2024-11-25T00:00:00"/>
    <x v="7"/>
    <x v="0"/>
    <s v="SET674-TL-4136"/>
    <x v="0"/>
    <x v="1"/>
    <s v="XS"/>
    <n v="1"/>
    <s v="INR"/>
    <n v="1244"/>
    <x v="6"/>
    <s v="India"/>
  </r>
  <r>
    <n v="245"/>
    <s v="ORD23458954"/>
    <n v="3056762"/>
    <x v="0"/>
    <n v="33"/>
    <x v="0"/>
    <d v="2024-11-25T00:00:00"/>
    <x v="7"/>
    <x v="0"/>
    <s v="SET674-TL-4168"/>
    <x v="0"/>
    <x v="0"/>
    <s v="M"/>
    <n v="1"/>
    <s v="INR"/>
    <n v="1441"/>
    <x v="0"/>
    <s v="India"/>
  </r>
  <r>
    <n v="246"/>
    <s v="ORD23458955"/>
    <n v="3067873"/>
    <x v="1"/>
    <n v="33"/>
    <x v="0"/>
    <d v="2024-11-26T00:00:00"/>
    <x v="7"/>
    <x v="0"/>
    <s v="SET674-TL-4200"/>
    <x v="0"/>
    <x v="1"/>
    <s v="M"/>
    <n v="1"/>
    <s v="INR"/>
    <n v="1638"/>
    <x v="0"/>
    <s v="India"/>
  </r>
  <r>
    <n v="247"/>
    <s v="ORD23458956"/>
    <n v="3078984"/>
    <x v="1"/>
    <n v="34"/>
    <x v="0"/>
    <d v="2024-11-26T00:00:00"/>
    <x v="7"/>
    <x v="0"/>
    <s v="SET674-TL-4232"/>
    <x v="2"/>
    <x v="1"/>
    <s v="M"/>
    <n v="1"/>
    <s v="INR"/>
    <n v="768"/>
    <x v="0"/>
    <s v="India"/>
  </r>
  <r>
    <n v="248"/>
    <s v="ORD23458957"/>
    <n v="3090095"/>
    <x v="1"/>
    <n v="36"/>
    <x v="0"/>
    <d v="2024-11-26T00:00:00"/>
    <x v="7"/>
    <x v="0"/>
    <s v="SET674-TL-4264"/>
    <x v="2"/>
    <x v="1"/>
    <s v="M"/>
    <n v="1"/>
    <s v="INR"/>
    <n v="876"/>
    <x v="6"/>
    <s v="India"/>
  </r>
  <r>
    <n v="249"/>
    <s v="ORD23458958"/>
    <n v="3101206"/>
    <x v="0"/>
    <n v="38"/>
    <x v="0"/>
    <d v="2024-11-26T00:00:00"/>
    <x v="7"/>
    <x v="0"/>
    <s v="SET674-TL-4296"/>
    <x v="2"/>
    <x v="7"/>
    <s v="M"/>
    <n v="2"/>
    <s v="INR"/>
    <n v="2778"/>
    <x v="9"/>
    <s v="India"/>
  </r>
  <r>
    <n v="250"/>
    <s v="ORD23458959"/>
    <n v="3112317"/>
    <x v="1"/>
    <n v="40"/>
    <x v="0"/>
    <d v="2024-11-26T00:00:00"/>
    <x v="7"/>
    <x v="0"/>
    <s v="SET674-TL-4328"/>
    <x v="2"/>
    <x v="2"/>
    <s v="3XL"/>
    <n v="2"/>
    <s v="INR"/>
    <n v="2426"/>
    <x v="9"/>
    <s v="India"/>
  </r>
  <r>
    <n v="251"/>
    <s v="ORD23458960"/>
    <n v="3123428"/>
    <x v="1"/>
    <n v="42"/>
    <x v="0"/>
    <d v="2024-11-26T00:00:00"/>
    <x v="7"/>
    <x v="0"/>
    <s v="SET674-TL-4360"/>
    <x v="2"/>
    <x v="2"/>
    <s v="3XL"/>
    <n v="2"/>
    <s v="INR"/>
    <n v="1456"/>
    <x v="9"/>
    <s v="India"/>
  </r>
  <r>
    <n v="252"/>
    <s v="ORD23458961"/>
    <n v="3134539"/>
    <x v="0"/>
    <n v="22"/>
    <x v="0"/>
    <d v="2024-11-27T00:00:00"/>
    <x v="7"/>
    <x v="0"/>
    <s v="SET674-TL-4392"/>
    <x v="1"/>
    <x v="10"/>
    <s v="3XL"/>
    <n v="2"/>
    <s v="INR"/>
    <n v="1488"/>
    <x v="9"/>
    <s v="India"/>
  </r>
  <r>
    <n v="253"/>
    <s v="ORD23458962"/>
    <n v="3145650"/>
    <x v="0"/>
    <n v="23"/>
    <x v="0"/>
    <d v="2024-11-28T00:00:00"/>
    <x v="7"/>
    <x v="0"/>
    <s v="SET674-TL-4424"/>
    <x v="1"/>
    <x v="10"/>
    <s v="M"/>
    <n v="2"/>
    <s v="INR"/>
    <n v="1520"/>
    <x v="9"/>
    <s v="India"/>
  </r>
  <r>
    <n v="254"/>
    <s v="ORD23458963"/>
    <n v="3156761"/>
    <x v="0"/>
    <n v="24"/>
    <x v="0"/>
    <d v="2024-11-29T00:00:00"/>
    <x v="7"/>
    <x v="0"/>
    <s v="SET674-TL-4456"/>
    <x v="1"/>
    <x v="11"/>
    <s v="M"/>
    <n v="2"/>
    <s v="INR"/>
    <n v="1552"/>
    <x v="9"/>
    <s v="India"/>
  </r>
  <r>
    <n v="255"/>
    <s v="ORD23458964"/>
    <n v="3167872"/>
    <x v="0"/>
    <n v="24"/>
    <x v="0"/>
    <d v="2024-11-30T00:00:00"/>
    <x v="7"/>
    <x v="0"/>
    <s v="SET674-TL-4488"/>
    <x v="1"/>
    <x v="0"/>
    <s v="M"/>
    <n v="2"/>
    <s v="INR"/>
    <n v="1584"/>
    <x v="11"/>
    <s v="India"/>
  </r>
  <r>
    <n v="256"/>
    <s v="ORD23458965"/>
    <n v="3178983"/>
    <x v="0"/>
    <n v="28"/>
    <x v="0"/>
    <d v="2024-12-01T00:00:00"/>
    <x v="8"/>
    <x v="0"/>
    <s v="SET674-TL-4520"/>
    <x v="1"/>
    <x v="11"/>
    <s v="M"/>
    <n v="2"/>
    <s v="INR"/>
    <n v="1616"/>
    <x v="11"/>
    <s v="India"/>
  </r>
  <r>
    <n v="257"/>
    <s v="ORD23458966"/>
    <n v="3190094"/>
    <x v="0"/>
    <n v="29"/>
    <x v="0"/>
    <d v="2024-12-02T00:00:00"/>
    <x v="8"/>
    <x v="1"/>
    <s v="SET674-TL-4552"/>
    <x v="7"/>
    <x v="7"/>
    <s v="L"/>
    <n v="2"/>
    <s v="INR"/>
    <n v="1648"/>
    <x v="11"/>
    <s v="India"/>
  </r>
  <r>
    <n v="258"/>
    <s v="ORD23458967"/>
    <n v="3201205"/>
    <x v="1"/>
    <n v="30"/>
    <x v="0"/>
    <d v="2024-12-03T00:00:00"/>
    <x v="8"/>
    <x v="0"/>
    <s v="SET674-TL-4584"/>
    <x v="6"/>
    <x v="0"/>
    <s v="L"/>
    <n v="2"/>
    <s v="INR"/>
    <n v="1680"/>
    <x v="1"/>
    <s v="India"/>
  </r>
  <r>
    <n v="259"/>
    <s v="ORD23458968"/>
    <n v="3212316"/>
    <x v="1"/>
    <n v="32"/>
    <x v="0"/>
    <d v="2024-12-04T00:00:00"/>
    <x v="8"/>
    <x v="0"/>
    <s v="SET674-TL-4616"/>
    <x v="6"/>
    <x v="0"/>
    <s v="L"/>
    <n v="2"/>
    <s v="INR"/>
    <n v="1712"/>
    <x v="1"/>
    <s v="India"/>
  </r>
  <r>
    <n v="260"/>
    <s v="ORD23458969"/>
    <n v="3223427"/>
    <x v="1"/>
    <n v="33"/>
    <x v="0"/>
    <d v="2024-12-05T00:00:00"/>
    <x v="8"/>
    <x v="0"/>
    <s v="SET674-TL-4648"/>
    <x v="5"/>
    <x v="0"/>
    <s v="L"/>
    <n v="2"/>
    <s v="INR"/>
    <n v="1744"/>
    <x v="1"/>
    <s v="India"/>
  </r>
  <r>
    <n v="261"/>
    <s v="ORD23458970"/>
    <n v="3234538"/>
    <x v="1"/>
    <n v="33"/>
    <x v="0"/>
    <d v="2024-12-06T00:00:00"/>
    <x v="8"/>
    <x v="0"/>
    <s v="SET674-TL-4680"/>
    <x v="5"/>
    <x v="0"/>
    <s v="L"/>
    <n v="2"/>
    <s v="INR"/>
    <n v="1776"/>
    <x v="5"/>
    <s v="India"/>
  </r>
  <r>
    <n v="262"/>
    <s v="ORD23458971"/>
    <n v="3245649"/>
    <x v="1"/>
    <n v="33"/>
    <x v="0"/>
    <d v="2024-12-07T00:00:00"/>
    <x v="8"/>
    <x v="0"/>
    <s v="SET674-TL-4712"/>
    <x v="5"/>
    <x v="5"/>
    <s v="XXL"/>
    <n v="2"/>
    <s v="INR"/>
    <n v="1808"/>
    <x v="5"/>
    <s v="India"/>
  </r>
  <r>
    <n v="263"/>
    <s v="ORD23458972"/>
    <n v="3256760"/>
    <x v="1"/>
    <n v="29"/>
    <x v="0"/>
    <d v="2024-12-08T00:00:00"/>
    <x v="8"/>
    <x v="1"/>
    <s v="SET674-TL-4744"/>
    <x v="5"/>
    <x v="5"/>
    <s v="XXL"/>
    <n v="2"/>
    <s v="INR"/>
    <n v="1276"/>
    <x v="5"/>
    <s v="India"/>
  </r>
  <r>
    <n v="264"/>
    <s v="ORD23458973"/>
    <n v="3267871"/>
    <x v="0"/>
    <n v="20"/>
    <x v="1"/>
    <d v="2024-12-09T00:00:00"/>
    <x v="8"/>
    <x v="0"/>
    <s v="SET674-TL-4776"/>
    <x v="7"/>
    <x v="11"/>
    <s v="XXL"/>
    <n v="2"/>
    <s v="INR"/>
    <n v="1288"/>
    <x v="5"/>
    <s v="India"/>
  </r>
  <r>
    <n v="265"/>
    <s v="ORD23458974"/>
    <n v="3278982"/>
    <x v="0"/>
    <n v="20"/>
    <x v="1"/>
    <d v="2024-12-10T00:00:00"/>
    <x v="8"/>
    <x v="0"/>
    <s v="SET674-TL-4808"/>
    <x v="4"/>
    <x v="7"/>
    <s v="XXL"/>
    <n v="2"/>
    <s v="INR"/>
    <n v="1300"/>
    <x v="0"/>
    <s v="India"/>
  </r>
  <r>
    <n v="266"/>
    <s v="ORD23458975"/>
    <n v="3290093"/>
    <x v="1"/>
    <n v="20"/>
    <x v="1"/>
    <d v="2024-12-11T00:00:00"/>
    <x v="8"/>
    <x v="0"/>
    <s v="SET674-TL-4840"/>
    <x v="1"/>
    <x v="10"/>
    <s v="XXL"/>
    <n v="2"/>
    <s v="INR"/>
    <n v="1312"/>
    <x v="0"/>
    <s v="India"/>
  </r>
  <r>
    <n v="267"/>
    <s v="ORD23458976"/>
    <n v="3301204"/>
    <x v="1"/>
    <n v="22"/>
    <x v="0"/>
    <d v="2024-12-12T00:00:00"/>
    <x v="8"/>
    <x v="0"/>
    <s v="SET674-TL-4872"/>
    <x v="1"/>
    <x v="15"/>
    <s v="XL"/>
    <n v="2"/>
    <s v="INR"/>
    <n v="1324"/>
    <x v="0"/>
    <s v="India"/>
  </r>
  <r>
    <n v="268"/>
    <s v="ORD23458977"/>
    <n v="3312315"/>
    <x v="1"/>
    <n v="23"/>
    <x v="0"/>
    <d v="2024-12-13T00:00:00"/>
    <x v="8"/>
    <x v="2"/>
    <s v="SET674-TL-4904"/>
    <x v="1"/>
    <x v="15"/>
    <s v="XL"/>
    <n v="2"/>
    <s v="INR"/>
    <n v="1336"/>
    <x v="0"/>
    <s v="India"/>
  </r>
  <r>
    <n v="269"/>
    <s v="ORD23458978"/>
    <n v="3323426"/>
    <x v="1"/>
    <n v="23"/>
    <x v="0"/>
    <d v="2024-12-14T00:00:00"/>
    <x v="8"/>
    <x v="0"/>
    <s v="SET674-TL-4936"/>
    <x v="0"/>
    <x v="15"/>
    <s v="XL"/>
    <n v="2"/>
    <s v="INR"/>
    <n v="1348"/>
    <x v="0"/>
    <s v="India"/>
  </r>
  <r>
    <n v="270"/>
    <s v="ORD23458979"/>
    <n v="3334537"/>
    <x v="1"/>
    <n v="23"/>
    <x v="0"/>
    <d v="2024-12-15T00:00:00"/>
    <x v="8"/>
    <x v="0"/>
    <s v="SET674-TL-4968"/>
    <x v="0"/>
    <x v="15"/>
    <s v="XL"/>
    <n v="2"/>
    <s v="INR"/>
    <n v="1360"/>
    <x v="0"/>
    <s v="India"/>
  </r>
  <r>
    <n v="271"/>
    <s v="ORD23458980"/>
    <n v="3345648"/>
    <x v="1"/>
    <n v="38"/>
    <x v="0"/>
    <d v="2024-12-16T00:00:00"/>
    <x v="8"/>
    <x v="0"/>
    <s v="SET674-TL-5000"/>
    <x v="0"/>
    <x v="15"/>
    <s v="M"/>
    <n v="2"/>
    <s v="INR"/>
    <n v="1372"/>
    <x v="15"/>
    <s v="India"/>
  </r>
  <r>
    <n v="272"/>
    <s v="ORD23458981"/>
    <n v="3356759"/>
    <x v="1"/>
    <n v="39"/>
    <x v="0"/>
    <d v="2024-12-17T00:00:00"/>
    <x v="8"/>
    <x v="0"/>
    <s v="SET674-TL-5032"/>
    <x v="4"/>
    <x v="13"/>
    <s v="M"/>
    <n v="2"/>
    <s v="INR"/>
    <n v="1384"/>
    <x v="15"/>
    <s v="India"/>
  </r>
  <r>
    <n v="273"/>
    <s v="ORD23458982"/>
    <n v="3367870"/>
    <x v="1"/>
    <n v="24"/>
    <x v="0"/>
    <d v="2024-12-18T00:00:00"/>
    <x v="8"/>
    <x v="0"/>
    <s v="SET674-TL-5064"/>
    <x v="4"/>
    <x v="13"/>
    <s v="M"/>
    <n v="2"/>
    <s v="INR"/>
    <n v="1396"/>
    <x v="15"/>
    <s v="India"/>
  </r>
  <r>
    <n v="274"/>
    <s v="ORD23458983"/>
    <n v="3378981"/>
    <x v="0"/>
    <n v="28"/>
    <x v="0"/>
    <d v="2024-12-19T00:00:00"/>
    <x v="8"/>
    <x v="0"/>
    <s v="SET674-TL-5096"/>
    <x v="1"/>
    <x v="10"/>
    <s v="M"/>
    <n v="2"/>
    <s v="INR"/>
    <n v="1408"/>
    <x v="15"/>
    <s v="India"/>
  </r>
  <r>
    <n v="275"/>
    <s v="ORD23458984"/>
    <n v="3390092"/>
    <x v="1"/>
    <n v="32"/>
    <x v="0"/>
    <d v="2024-12-20T00:00:00"/>
    <x v="8"/>
    <x v="0"/>
    <s v="SET674-TL-5128"/>
    <x v="1"/>
    <x v="10"/>
    <s v="M"/>
    <n v="2"/>
    <s v="INR"/>
    <n v="1420"/>
    <x v="2"/>
    <s v="India"/>
  </r>
  <r>
    <n v="276"/>
    <s v="ORD23458985"/>
    <n v="3401203"/>
    <x v="1"/>
    <n v="36"/>
    <x v="0"/>
    <d v="2024-12-21T00:00:00"/>
    <x v="8"/>
    <x v="2"/>
    <s v="SET674-TL-5160"/>
    <x v="1"/>
    <x v="10"/>
    <s v="M"/>
    <n v="2"/>
    <s v="INR"/>
    <n v="1432"/>
    <x v="9"/>
    <s v="India"/>
  </r>
  <r>
    <n v="277"/>
    <s v="ORD23458986"/>
    <n v="3412314"/>
    <x v="1"/>
    <n v="40"/>
    <x v="0"/>
    <d v="2024-12-25T00:00:00"/>
    <x v="8"/>
    <x v="0"/>
    <s v="SET674-TL-5192"/>
    <x v="1"/>
    <x v="14"/>
    <s v="M"/>
    <n v="2"/>
    <s v="INR"/>
    <n v="678"/>
    <x v="9"/>
    <s v="India"/>
  </r>
  <r>
    <n v="278"/>
    <s v="ORD23458987"/>
    <n v="3423425"/>
    <x v="1"/>
    <n v="44"/>
    <x v="0"/>
    <d v="2024-12-25T00:00:00"/>
    <x v="8"/>
    <x v="0"/>
    <s v="SET674-TL-5224"/>
    <x v="2"/>
    <x v="15"/>
    <s v="XXL"/>
    <n v="2"/>
    <s v="INR"/>
    <n v="765"/>
    <x v="9"/>
    <s v="India"/>
  </r>
  <r>
    <n v="279"/>
    <s v="ORD23458988"/>
    <n v="3434536"/>
    <x v="1"/>
    <n v="48"/>
    <x v="0"/>
    <d v="2024-12-25T00:00:00"/>
    <x v="8"/>
    <x v="0"/>
    <s v="SET674-TL-5256"/>
    <x v="2"/>
    <x v="15"/>
    <s v="XXL"/>
    <n v="2"/>
    <s v="INR"/>
    <n v="852"/>
    <x v="6"/>
    <s v="India"/>
  </r>
  <r>
    <n v="280"/>
    <s v="ORD23458989"/>
    <n v="3445647"/>
    <x v="1"/>
    <n v="33"/>
    <x v="0"/>
    <d v="2024-12-25T00:00:00"/>
    <x v="8"/>
    <x v="2"/>
    <s v="SET674-TL-5288"/>
    <x v="2"/>
    <x v="15"/>
    <s v="XXL"/>
    <n v="2"/>
    <s v="INR"/>
    <n v="939"/>
    <x v="6"/>
    <s v="India"/>
  </r>
  <r>
    <n v="281"/>
    <s v="ORD23458990"/>
    <n v="3456758"/>
    <x v="1"/>
    <n v="35"/>
    <x v="0"/>
    <d v="2024-12-29T00:00:00"/>
    <x v="8"/>
    <x v="0"/>
    <s v="SET674-TL-5320"/>
    <x v="2"/>
    <x v="15"/>
    <s v="XXL"/>
    <n v="3"/>
    <s v="INR"/>
    <n v="1026"/>
    <x v="6"/>
    <s v="India"/>
  </r>
  <r>
    <n v="282"/>
    <s v="ORD23458991"/>
    <n v="3467869"/>
    <x v="0"/>
    <n v="37"/>
    <x v="0"/>
    <d v="2025-01-02T00:00:00"/>
    <x v="9"/>
    <x v="0"/>
    <s v="SET674-TL-5352"/>
    <x v="6"/>
    <x v="11"/>
    <s v="XXL"/>
    <n v="3"/>
    <s v="INR"/>
    <n v="1113"/>
    <x v="4"/>
    <s v="India"/>
  </r>
  <r>
    <n v="283"/>
    <s v="ORD23458992"/>
    <n v="3478980"/>
    <x v="1"/>
    <n v="39"/>
    <x v="0"/>
    <d v="2025-01-06T00:00:00"/>
    <x v="9"/>
    <x v="0"/>
    <s v="SET674-TL-5384"/>
    <x v="6"/>
    <x v="11"/>
    <s v="L"/>
    <n v="3"/>
    <s v="INR"/>
    <n v="1200"/>
    <x v="4"/>
    <s v="India"/>
  </r>
  <r>
    <n v="284"/>
    <s v="ORD23458993"/>
    <n v="3490091"/>
    <x v="1"/>
    <n v="41"/>
    <x v="0"/>
    <d v="2025-01-10T00:00:00"/>
    <x v="9"/>
    <x v="0"/>
    <s v="SET674-TL-5416"/>
    <x v="6"/>
    <x v="11"/>
    <s v="L"/>
    <n v="3"/>
    <s v="INR"/>
    <n v="560"/>
    <x v="4"/>
    <s v="India"/>
  </r>
  <r>
    <n v="285"/>
    <s v="ORD23458994"/>
    <n v="3501202"/>
    <x v="1"/>
    <n v="43"/>
    <x v="0"/>
    <d v="2024-01-15T00:00:00"/>
    <x v="9"/>
    <x v="0"/>
    <s v="SET674-TL-5448"/>
    <x v="8"/>
    <x v="11"/>
    <s v="L"/>
    <n v="3"/>
    <s v="INR"/>
    <n v="568"/>
    <x v="4"/>
    <s v="India"/>
  </r>
  <r>
    <n v="286"/>
    <s v="ORD23458995"/>
    <n v="3512313"/>
    <x v="1"/>
    <n v="45"/>
    <x v="0"/>
    <d v="2024-01-26T00:00:00"/>
    <x v="9"/>
    <x v="0"/>
    <s v="SET674-TL-5480"/>
    <x v="8"/>
    <x v="0"/>
    <s v="L"/>
    <n v="3"/>
    <s v="INR"/>
    <n v="576"/>
    <x v="4"/>
    <s v="India"/>
  </r>
  <r>
    <n v="287"/>
    <s v="ORD23458996"/>
    <n v="3523424"/>
    <x v="1"/>
    <n v="47"/>
    <x v="0"/>
    <d v="2024-02-06T00:00:00"/>
    <x v="10"/>
    <x v="0"/>
    <s v="SET674-TL-5512"/>
    <x v="8"/>
    <x v="0"/>
    <s v="L"/>
    <n v="3"/>
    <s v="INR"/>
    <n v="584"/>
    <x v="0"/>
    <s v="India"/>
  </r>
  <r>
    <n v="288"/>
    <s v="ORD23458997"/>
    <n v="3534535"/>
    <x v="1"/>
    <n v="22"/>
    <x v="0"/>
    <d v="2024-02-17T00:00:00"/>
    <x v="10"/>
    <x v="0"/>
    <s v="SET674-TL-5544"/>
    <x v="8"/>
    <x v="0"/>
    <s v="S"/>
    <n v="3"/>
    <s v="INR"/>
    <n v="592"/>
    <x v="5"/>
    <s v="India"/>
  </r>
  <r>
    <n v="289"/>
    <s v="ORD23458998"/>
    <n v="3545646"/>
    <x v="1"/>
    <n v="21"/>
    <x v="0"/>
    <d v="2024-02-20T00:00:00"/>
    <x v="10"/>
    <x v="0"/>
    <s v="SET674-TL-5576"/>
    <x v="8"/>
    <x v="0"/>
    <s v="S"/>
    <n v="3"/>
    <s v="INR"/>
    <n v="600"/>
    <x v="5"/>
    <s v="India"/>
  </r>
  <r>
    <n v="290"/>
    <s v="ORD23458999"/>
    <n v="3556757"/>
    <x v="1"/>
    <n v="34"/>
    <x v="0"/>
    <d v="2024-02-23T00:00:00"/>
    <x v="10"/>
    <x v="1"/>
    <s v="SET674-TL-5608"/>
    <x v="4"/>
    <x v="7"/>
    <s v="S"/>
    <n v="3"/>
    <s v="INR"/>
    <n v="608"/>
    <x v="5"/>
    <s v="India"/>
  </r>
  <r>
    <n v="291"/>
    <s v="ORD23459000"/>
    <n v="3567868"/>
    <x v="1"/>
    <n v="43"/>
    <x v="0"/>
    <d v="2024-02-26T00:00:00"/>
    <x v="10"/>
    <x v="0"/>
    <s v="SET674-TL-5640"/>
    <x v="4"/>
    <x v="7"/>
    <s v="S"/>
    <n v="3"/>
    <s v="INR"/>
    <n v="1000"/>
    <x v="5"/>
    <s v="India"/>
  </r>
  <r>
    <n v="292"/>
    <s v="ORD23459001"/>
    <n v="3578979"/>
    <x v="1"/>
    <n v="33"/>
    <x v="0"/>
    <d v="2024-02-29T00:00:00"/>
    <x v="10"/>
    <x v="0"/>
    <s v="SET674-TL-5672"/>
    <x v="4"/>
    <x v="7"/>
    <s v="S"/>
    <n v="3"/>
    <s v="INR"/>
    <n v="1234"/>
    <x v="7"/>
    <s v="India"/>
  </r>
  <r>
    <n v="293"/>
    <s v="ORD23459002"/>
    <n v="3590090"/>
    <x v="0"/>
    <n v="29"/>
    <x v="0"/>
    <d v="2024-03-03T00:00:00"/>
    <x v="11"/>
    <x v="0"/>
    <s v="SET674-TL-5704"/>
    <x v="4"/>
    <x v="7"/>
    <s v="XXL"/>
    <n v="3"/>
    <s v="INR"/>
    <n v="1468"/>
    <x v="7"/>
    <s v="India"/>
  </r>
  <r>
    <n v="294"/>
    <s v="ORD23459003"/>
    <n v="3601201"/>
    <x v="0"/>
    <n v="36"/>
    <x v="0"/>
    <d v="2024-03-06T00:00:00"/>
    <x v="11"/>
    <x v="0"/>
    <s v="SET674-TL-5736"/>
    <x v="4"/>
    <x v="11"/>
    <s v="XXL"/>
    <n v="3"/>
    <s v="INR"/>
    <n v="1702"/>
    <x v="7"/>
    <s v="India"/>
  </r>
  <r>
    <n v="295"/>
    <s v="ORD23459004"/>
    <n v="3612312"/>
    <x v="0"/>
    <n v="38"/>
    <x v="0"/>
    <d v="2024-03-09T00:00:00"/>
    <x v="11"/>
    <x v="1"/>
    <s v="SET674-TL-5768"/>
    <x v="6"/>
    <x v="10"/>
    <s v="XXL"/>
    <n v="3"/>
    <s v="INR"/>
    <n v="1936"/>
    <x v="7"/>
    <s v="India"/>
  </r>
  <r>
    <n v="296"/>
    <s v="ORD23459005"/>
    <n v="3623423"/>
    <x v="1"/>
    <n v="40"/>
    <x v="0"/>
    <d v="2024-03-12T00:00:00"/>
    <x v="11"/>
    <x v="0"/>
    <s v="SET674-TL-5800"/>
    <x v="6"/>
    <x v="14"/>
    <s v="XL"/>
    <n v="3"/>
    <s v="INR"/>
    <n v="1234"/>
    <x v="6"/>
    <s v="India"/>
  </r>
  <r>
    <n v="297"/>
    <s v="ORD23459006"/>
    <n v="3634534"/>
    <x v="1"/>
    <n v="42"/>
    <x v="0"/>
    <d v="2024-03-15T00:00:00"/>
    <x v="11"/>
    <x v="0"/>
    <s v="SET674-TL-5832"/>
    <x v="6"/>
    <x v="14"/>
    <s v="XL"/>
    <n v="3"/>
    <s v="INR"/>
    <n v="1256"/>
    <x v="6"/>
    <s v="India"/>
  </r>
  <r>
    <n v="298"/>
    <s v="ORD23459007"/>
    <n v="3645645"/>
    <x v="0"/>
    <n v="27"/>
    <x v="0"/>
    <d v="2024-03-18T00:00:00"/>
    <x v="11"/>
    <x v="2"/>
    <s v="SET674-TL-5864"/>
    <x v="6"/>
    <x v="7"/>
    <s v="XL"/>
    <n v="3"/>
    <s v="INR"/>
    <n v="1278"/>
    <x v="6"/>
    <s v="India"/>
  </r>
  <r>
    <n v="299"/>
    <s v="ORD23459008"/>
    <n v="3656756"/>
    <x v="0"/>
    <n v="28"/>
    <x v="0"/>
    <d v="2024-03-21T00:00:00"/>
    <x v="11"/>
    <x v="0"/>
    <s v="SET674-TL-5896"/>
    <x v="5"/>
    <x v="0"/>
    <s v="S"/>
    <n v="3"/>
    <s v="INR"/>
    <n v="1300"/>
    <x v="11"/>
    <s v="India"/>
  </r>
  <r>
    <n v="300"/>
    <s v="ORD23459009"/>
    <n v="3667867"/>
    <x v="1"/>
    <n v="29"/>
    <x v="0"/>
    <d v="2024-03-24T00:00:00"/>
    <x v="11"/>
    <x v="0"/>
    <s v="SET674-TL-5928"/>
    <x v="5"/>
    <x v="7"/>
    <s v="S"/>
    <n v="3"/>
    <s v="INR"/>
    <n v="1322"/>
    <x v="11"/>
    <s v="Indi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71807B-5CC4-4DA8-B62A-58968284B8DD}"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A3:C15" firstHeaderRow="0" firstDataRow="1" firstDataCol="1"/>
  <pivotFields count="18">
    <pivotField showAll="0"/>
    <pivotField dataField="1" showAll="0"/>
    <pivotField showAll="0"/>
    <pivotField showAll="0">
      <items count="3">
        <item x="1"/>
        <item x="0"/>
        <item t="default"/>
      </items>
    </pivotField>
    <pivotField showAll="0"/>
    <pivotField showAll="0"/>
    <pivotField numFmtId="14" showAll="0"/>
    <pivotField axis="axisRow" showAll="0">
      <items count="13">
        <item x="9"/>
        <item x="10"/>
        <item x="11"/>
        <item x="0"/>
        <item x="1"/>
        <item x="2"/>
        <item x="3"/>
        <item x="4"/>
        <item x="5"/>
        <item x="6"/>
        <item x="7"/>
        <item x="8"/>
        <item t="default"/>
      </items>
    </pivotField>
    <pivotField showAll="0"/>
    <pivotField showAll="0"/>
    <pivotField showAll="0">
      <items count="10">
        <item x="1"/>
        <item x="4"/>
        <item x="6"/>
        <item x="8"/>
        <item x="2"/>
        <item x="0"/>
        <item x="3"/>
        <item x="5"/>
        <item x="7"/>
        <item t="default"/>
      </items>
    </pivotField>
    <pivotField showAll="0"/>
    <pivotField showAll="0"/>
    <pivotField showAll="0"/>
    <pivotField showAll="0"/>
    <pivotField dataField="1" showAll="0"/>
    <pivotField showAll="0">
      <items count="17">
        <item x="10"/>
        <item x="2"/>
        <item x="13"/>
        <item x="7"/>
        <item x="14"/>
        <item x="4"/>
        <item x="11"/>
        <item x="15"/>
        <item x="0"/>
        <item x="3"/>
        <item x="5"/>
        <item x="8"/>
        <item x="9"/>
        <item x="12"/>
        <item x="6"/>
        <item x="1"/>
        <item t="default"/>
      </items>
    </pivotField>
    <pivotField showAll="0"/>
  </pivotFields>
  <rowFields count="1">
    <field x="7"/>
  </rowFields>
  <rowItems count="12">
    <i>
      <x/>
    </i>
    <i>
      <x v="1"/>
    </i>
    <i>
      <x v="2"/>
    </i>
    <i>
      <x v="3"/>
    </i>
    <i>
      <x v="4"/>
    </i>
    <i>
      <x v="5"/>
    </i>
    <i>
      <x v="6"/>
    </i>
    <i>
      <x v="7"/>
    </i>
    <i>
      <x v="8"/>
    </i>
    <i>
      <x v="9"/>
    </i>
    <i>
      <x v="10"/>
    </i>
    <i>
      <x v="11"/>
    </i>
  </rowItems>
  <colFields count="1">
    <field x="-2"/>
  </colFields>
  <colItems count="2">
    <i>
      <x/>
    </i>
    <i i="1">
      <x v="1"/>
    </i>
  </colItems>
  <dataFields count="2">
    <dataField name="Sum of amount" fld="15" baseField="0" baseItem="0"/>
    <dataField name="Count of order id" fld="1"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239120-342E-4B7A-9AA5-8C1A1CCCE7F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6" firstHeaderRow="1" firstDataRow="1" firstDataCol="1"/>
  <pivotFields count="18">
    <pivotField showAll="0"/>
    <pivotField showAll="0"/>
    <pivotField showAll="0"/>
    <pivotField axis="axisRow" showAll="0">
      <items count="3">
        <item x="1"/>
        <item x="0"/>
        <item t="default"/>
      </items>
    </pivotField>
    <pivotField showAll="0"/>
    <pivotField showAll="0"/>
    <pivotField numFmtId="14" showAll="0"/>
    <pivotField showAll="0"/>
    <pivotField showAll="0"/>
    <pivotField showAll="0"/>
    <pivotField showAll="0">
      <items count="10">
        <item x="1"/>
        <item x="4"/>
        <item x="6"/>
        <item x="8"/>
        <item x="2"/>
        <item x="0"/>
        <item x="3"/>
        <item x="5"/>
        <item x="7"/>
        <item t="default"/>
      </items>
    </pivotField>
    <pivotField showAll="0"/>
    <pivotField showAll="0"/>
    <pivotField showAll="0"/>
    <pivotField showAll="0"/>
    <pivotField dataField="1" showAll="0"/>
    <pivotField showAll="0">
      <items count="17">
        <item x="10"/>
        <item x="2"/>
        <item x="13"/>
        <item x="7"/>
        <item x="14"/>
        <item x="4"/>
        <item x="11"/>
        <item x="15"/>
        <item x="0"/>
        <item x="3"/>
        <item x="5"/>
        <item x="8"/>
        <item x="9"/>
        <item x="12"/>
        <item x="6"/>
        <item x="1"/>
        <item t="default"/>
      </items>
    </pivotField>
    <pivotField showAll="0"/>
  </pivotFields>
  <rowFields count="1">
    <field x="3"/>
  </rowFields>
  <rowItems count="3">
    <i>
      <x/>
    </i>
    <i>
      <x v="1"/>
    </i>
    <i t="grand">
      <x/>
    </i>
  </rowItems>
  <colItems count="1">
    <i/>
  </colItems>
  <dataFields count="1">
    <dataField name="Sum of amount" fld="15"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3" count="1" selected="0">
            <x v="0"/>
          </reference>
        </references>
      </pivotArea>
    </chartFormat>
    <chartFormat chart="5"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838B3F-E03B-42D3-A0ED-78DC9B00D97C}"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3:B6" firstHeaderRow="1" firstDataRow="1" firstDataCol="1"/>
  <pivotFields count="18">
    <pivotField showAll="0"/>
    <pivotField showAll="0"/>
    <pivotField showAll="0"/>
    <pivotField showAll="0">
      <items count="3">
        <item x="1"/>
        <item x="0"/>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numFmtId="14" showAll="0"/>
    <pivotField showAll="0"/>
    <pivotField showAll="0"/>
    <pivotField showAll="0"/>
    <pivotField showAll="0">
      <items count="10">
        <item x="1"/>
        <item x="4"/>
        <item x="6"/>
        <item x="8"/>
        <item x="2"/>
        <item x="0"/>
        <item x="3"/>
        <item x="5"/>
        <item x="7"/>
        <item t="default"/>
      </items>
    </pivotField>
    <pivotField showAll="0"/>
    <pivotField showAll="0"/>
    <pivotField showAll="0"/>
    <pivotField showAll="0"/>
    <pivotField dataField="1" showAll="0"/>
    <pivotField showAll="0">
      <items count="17">
        <item x="10"/>
        <item x="2"/>
        <item x="13"/>
        <item x="7"/>
        <item x="14"/>
        <item x="4"/>
        <item x="11"/>
        <item x="15"/>
        <item x="0"/>
        <item x="3"/>
        <item x="5"/>
        <item x="8"/>
        <item x="9"/>
        <item x="12"/>
        <item x="6"/>
        <item x="1"/>
        <item t="default"/>
      </items>
    </pivotField>
    <pivotField showAll="0"/>
  </pivotFields>
  <rowFields count="1">
    <field x="5"/>
  </rowFields>
  <rowItems count="3">
    <i>
      <x/>
    </i>
    <i>
      <x v="2"/>
    </i>
    <i>
      <x v="1"/>
    </i>
  </rowItems>
  <colItems count="1">
    <i/>
  </colItems>
  <dataFields count="1">
    <dataField name="Sum of amount" fld="15"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A3BEF24-60C8-4B14-934A-1C9A240810A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20" firstHeaderRow="1" firstDataRow="1" firstDataCol="1"/>
  <pivotFields count="18">
    <pivotField showAll="0"/>
    <pivotField showAll="0"/>
    <pivotField showAll="0"/>
    <pivotField showAll="0">
      <items count="3">
        <item x="1"/>
        <item x="0"/>
        <item t="default"/>
      </items>
    </pivotField>
    <pivotField showAll="0"/>
    <pivotField showAll="0"/>
    <pivotField numFmtId="14" showAll="0"/>
    <pivotField showAll="0"/>
    <pivotField showAll="0"/>
    <pivotField showAll="0"/>
    <pivotField showAll="0">
      <items count="10">
        <item x="1"/>
        <item x="4"/>
        <item x="6"/>
        <item x="8"/>
        <item x="2"/>
        <item x="0"/>
        <item x="3"/>
        <item x="5"/>
        <item x="7"/>
        <item t="default"/>
      </items>
    </pivotField>
    <pivotField showAll="0"/>
    <pivotField showAll="0"/>
    <pivotField showAll="0"/>
    <pivotField showAll="0"/>
    <pivotField dataField="1" showAll="0"/>
    <pivotField axis="axisRow" showAll="0">
      <items count="17">
        <item x="10"/>
        <item x="2"/>
        <item x="13"/>
        <item x="7"/>
        <item x="14"/>
        <item x="4"/>
        <item x="11"/>
        <item x="15"/>
        <item x="0"/>
        <item x="3"/>
        <item x="5"/>
        <item x="8"/>
        <item x="9"/>
        <item x="12"/>
        <item x="6"/>
        <item x="1"/>
        <item t="default"/>
      </items>
    </pivotField>
    <pivotField showAll="0"/>
  </pivotFields>
  <rowFields count="1">
    <field x="16"/>
  </rowFields>
  <rowItems count="17">
    <i>
      <x/>
    </i>
    <i>
      <x v="1"/>
    </i>
    <i>
      <x v="2"/>
    </i>
    <i>
      <x v="3"/>
    </i>
    <i>
      <x v="4"/>
    </i>
    <i>
      <x v="5"/>
    </i>
    <i>
      <x v="6"/>
    </i>
    <i>
      <x v="7"/>
    </i>
    <i>
      <x v="8"/>
    </i>
    <i>
      <x v="9"/>
    </i>
    <i>
      <x v="10"/>
    </i>
    <i>
      <x v="11"/>
    </i>
    <i>
      <x v="12"/>
    </i>
    <i>
      <x v="13"/>
    </i>
    <i>
      <x v="14"/>
    </i>
    <i>
      <x v="15"/>
    </i>
    <i t="grand">
      <x/>
    </i>
  </rowItems>
  <colItems count="1">
    <i/>
  </colItems>
  <dataFields count="1">
    <dataField name="Sum of amount" fld="1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15D1D49-1956-4EEC-9F0C-498E02F44078}"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3:B6" firstHeaderRow="1" firstDataRow="1" firstDataCol="1"/>
  <pivotFields count="18">
    <pivotField showAll="0"/>
    <pivotField dataField="1" showAll="0"/>
    <pivotField showAll="0"/>
    <pivotField showAll="0">
      <items count="3">
        <item x="1"/>
        <item x="0"/>
        <item t="default"/>
      </items>
    </pivotField>
    <pivotField showAll="0"/>
    <pivotField showAll="0"/>
    <pivotField numFmtId="14" showAll="0"/>
    <pivotField showAll="0"/>
    <pivotField axis="axisRow" showAll="0">
      <items count="4">
        <item x="2"/>
        <item x="0"/>
        <item x="1"/>
        <item t="default"/>
      </items>
    </pivotField>
    <pivotField showAll="0"/>
    <pivotField showAll="0">
      <items count="10">
        <item x="1"/>
        <item x="4"/>
        <item x="6"/>
        <item x="8"/>
        <item x="2"/>
        <item x="0"/>
        <item x="3"/>
        <item x="5"/>
        <item x="7"/>
        <item t="default"/>
      </items>
    </pivotField>
    <pivotField showAll="0"/>
    <pivotField showAll="0"/>
    <pivotField showAll="0"/>
    <pivotField showAll="0"/>
    <pivotField showAll="0"/>
    <pivotField showAll="0">
      <items count="17">
        <item x="10"/>
        <item x="2"/>
        <item x="13"/>
        <item x="7"/>
        <item x="14"/>
        <item x="4"/>
        <item x="11"/>
        <item x="15"/>
        <item x="0"/>
        <item x="3"/>
        <item x="5"/>
        <item x="8"/>
        <item x="9"/>
        <item x="12"/>
        <item x="6"/>
        <item x="1"/>
        <item t="default"/>
      </items>
    </pivotField>
    <pivotField showAll="0"/>
  </pivotFields>
  <rowFields count="1">
    <field x="8"/>
  </rowFields>
  <rowItems count="3">
    <i>
      <x/>
    </i>
    <i>
      <x v="1"/>
    </i>
    <i>
      <x v="2"/>
    </i>
  </rowItems>
  <colItems count="1">
    <i/>
  </colItems>
  <dataFields count="1">
    <dataField name="Count of order id" fld="1"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1"/>
          </reference>
        </references>
      </pivotArea>
    </chartFormat>
    <chartFormat chart="0" format="2">
      <pivotArea type="data" outline="0" fieldPosition="0">
        <references count="2">
          <reference field="4294967294" count="1" selected="0">
            <x v="0"/>
          </reference>
          <reference field="8" count="1" selected="0">
            <x v="0"/>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8" count="1" selected="0">
            <x v="0"/>
          </reference>
        </references>
      </pivotArea>
    </chartFormat>
    <chartFormat chart="8" format="6">
      <pivotArea type="data" outline="0" fieldPosition="0">
        <references count="2">
          <reference field="4294967294" count="1" selected="0">
            <x v="0"/>
          </reference>
          <reference field="8" count="1" selected="0">
            <x v="1"/>
          </reference>
        </references>
      </pivotArea>
    </chartFormat>
    <chartFormat chart="8" format="7">
      <pivotArea type="data" outline="0" fieldPosition="0">
        <references count="2">
          <reference field="4294967294" count="1" selected="0">
            <x v="0"/>
          </reference>
          <reference field="8" count="1" selected="0">
            <x v="2"/>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8" count="1" selected="0">
            <x v="0"/>
          </reference>
        </references>
      </pivotArea>
    </chartFormat>
    <chartFormat chart="9" format="10">
      <pivotArea type="data" outline="0" fieldPosition="0">
        <references count="2">
          <reference field="4294967294" count="1" selected="0">
            <x v="0"/>
          </reference>
          <reference field="8" count="1" selected="0">
            <x v="1"/>
          </reference>
        </references>
      </pivotArea>
    </chartFormat>
    <chartFormat chart="9" format="1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F5CC16A-864C-4AE7-8F1F-22BC2E1A5B21}"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3:B12" firstHeaderRow="1" firstDataRow="1" firstDataCol="1"/>
  <pivotFields count="18">
    <pivotField showAll="0"/>
    <pivotField dataField="1" showAll="0"/>
    <pivotField showAll="0"/>
    <pivotField showAll="0">
      <items count="3">
        <item x="1"/>
        <item x="0"/>
        <item t="default"/>
      </items>
    </pivotField>
    <pivotField showAll="0"/>
    <pivotField showAll="0"/>
    <pivotField numFmtId="14" showAll="0"/>
    <pivotField showAll="0"/>
    <pivotField showAll="0"/>
    <pivotField showAll="0"/>
    <pivotField axis="axisRow" showAll="0" sortType="descending">
      <items count="10">
        <item x="1"/>
        <item x="4"/>
        <item x="6"/>
        <item x="8"/>
        <item x="2"/>
        <item x="0"/>
        <item x="3"/>
        <item x="5"/>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17">
        <item x="10"/>
        <item x="2"/>
        <item x="13"/>
        <item x="7"/>
        <item x="14"/>
        <item x="4"/>
        <item x="11"/>
        <item x="15"/>
        <item x="0"/>
        <item x="3"/>
        <item x="5"/>
        <item x="8"/>
        <item x="9"/>
        <item x="12"/>
        <item x="6"/>
        <item x="1"/>
        <item t="default"/>
      </items>
    </pivotField>
    <pivotField showAll="0"/>
  </pivotFields>
  <rowFields count="1">
    <field x="10"/>
  </rowFields>
  <rowItems count="9">
    <i>
      <x v="1"/>
    </i>
    <i>
      <x v="7"/>
    </i>
    <i>
      <x/>
    </i>
    <i>
      <x v="4"/>
    </i>
    <i>
      <x v="2"/>
    </i>
    <i>
      <x v="6"/>
    </i>
    <i>
      <x v="3"/>
    </i>
    <i>
      <x v="5"/>
    </i>
    <i>
      <x v="8"/>
    </i>
  </rowItems>
  <colItems count="1">
    <i/>
  </colItems>
  <dataFields count="1">
    <dataField name="Count of order id" fld="1"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FB08700-182A-4387-BADA-9AF3976449F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20" firstHeaderRow="1" firstDataRow="1" firstDataCol="1"/>
  <pivotFields count="18">
    <pivotField showAll="0"/>
    <pivotField showAll="0"/>
    <pivotField showAll="0"/>
    <pivotField showAll="0"/>
    <pivotField showAll="0"/>
    <pivotField showAll="0"/>
    <pivotField numFmtId="14" showAll="0"/>
    <pivotField showAll="0"/>
    <pivotField showAll="0"/>
    <pivotField showAll="0"/>
    <pivotField showAll="0"/>
    <pivotField axis="axisRow" showAll="0">
      <items count="17">
        <item x="2"/>
        <item x="12"/>
        <item x="5"/>
        <item x="9"/>
        <item x="10"/>
        <item x="11"/>
        <item x="13"/>
        <item x="6"/>
        <item x="3"/>
        <item x="7"/>
        <item x="1"/>
        <item x="8"/>
        <item x="15"/>
        <item x="4"/>
        <item x="14"/>
        <item x="0"/>
        <item t="default"/>
      </items>
    </pivotField>
    <pivotField showAll="0"/>
    <pivotField dataField="1" showAll="0"/>
    <pivotField showAll="0"/>
    <pivotField showAll="0"/>
    <pivotField showAll="0"/>
    <pivotField showAll="0"/>
  </pivotFields>
  <rowFields count="1">
    <field x="11"/>
  </rowFields>
  <rowItems count="17">
    <i>
      <x/>
    </i>
    <i>
      <x v="1"/>
    </i>
    <i>
      <x v="2"/>
    </i>
    <i>
      <x v="3"/>
    </i>
    <i>
      <x v="4"/>
    </i>
    <i>
      <x v="5"/>
    </i>
    <i>
      <x v="6"/>
    </i>
    <i>
      <x v="7"/>
    </i>
    <i>
      <x v="8"/>
    </i>
    <i>
      <x v="9"/>
    </i>
    <i>
      <x v="10"/>
    </i>
    <i>
      <x v="11"/>
    </i>
    <i>
      <x v="12"/>
    </i>
    <i>
      <x v="13"/>
    </i>
    <i>
      <x v="14"/>
    </i>
    <i>
      <x v="15"/>
    </i>
    <i t="grand">
      <x/>
    </i>
  </rowItems>
  <colItems count="1">
    <i/>
  </colItems>
  <dataFields count="1">
    <dataField name="Sum of quantity" fld="13"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854971C-F2AD-4B8A-9764-B0A8FAFE94E4}" sourceName="gender">
  <pivotTables>
    <pivotTable tabId="2" name="PivotTable1"/>
    <pivotTable tabId="6" name="PivotTable3"/>
    <pivotTable tabId="4" name="PivotTable2"/>
    <pivotTable tabId="11" name="PivotTable1"/>
    <pivotTable tabId="10" name="PivotTable5"/>
    <pivotTable tabId="8" name="PivotTable4"/>
  </pivotTables>
  <data>
    <tabular pivotCacheId="254453987">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F323FB9F-053C-4704-ABDA-2E49B7DF1975}" sourceName="channel">
  <pivotTables>
    <pivotTable tabId="2" name="PivotTable1"/>
    <pivotTable tabId="6" name="PivotTable3"/>
    <pivotTable tabId="4" name="PivotTable2"/>
    <pivotTable tabId="11" name="PivotTable1"/>
    <pivotTable tabId="10" name="PivotTable5"/>
    <pivotTable tabId="8" name="PivotTable4"/>
  </pivotTables>
  <data>
    <tabular pivotCacheId="254453987">
      <items count="9">
        <i x="1" s="1"/>
        <i x="4" s="1"/>
        <i x="6" s="1"/>
        <i x="8" s="1"/>
        <i x="2" s="1"/>
        <i x="0" s="1"/>
        <i x="3" s="1"/>
        <i x="5"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ping_city" xr10:uid="{E8B8D45A-DD3A-4070-9675-130BD65A5232}" sourceName="shipping city">
  <pivotTables>
    <pivotTable tabId="2" name="PivotTable1"/>
    <pivotTable tabId="6" name="PivotTable3"/>
    <pivotTable tabId="4" name="PivotTable2"/>
    <pivotTable tabId="11" name="PivotTable1"/>
    <pivotTable tabId="10" name="PivotTable5"/>
    <pivotTable tabId="8" name="PivotTable4"/>
  </pivotTables>
  <data>
    <tabular pivotCacheId="254453987">
      <items count="16">
        <i x="10" s="1"/>
        <i x="2" s="1"/>
        <i x="13" s="1"/>
        <i x="7" s="1"/>
        <i x="14" s="1"/>
        <i x="4" s="1"/>
        <i x="11" s="1"/>
        <i x="15" s="1"/>
        <i x="0" s="1"/>
        <i x="3" s="1"/>
        <i x="5" s="1"/>
        <i x="8" s="1"/>
        <i x="9" s="1"/>
        <i x="12" s="1"/>
        <i x="6"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B8377C3C-DC71-473B-BF0B-1ECB3FC76EBB}" cache="Slicer_gender" caption="gender" rowHeight="234950"/>
  <slicer name="channel" xr10:uid="{32793186-3605-42E2-8742-AA029A2BF9BC}" cache="Slicer_channel" caption="channel" rowHeight="234950"/>
  <slicer name="shipping city" xr10:uid="{6EF44046-85C3-4DEB-888D-C3DC4C722615}" cache="Slicer_shipping_city" caption="shipping cit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CFBD10-E186-4196-9E67-225048CBE029}" name="Table1" displayName="Table1" ref="A1:R301" totalsRowShown="0" headerRowDxfId="21" headerRowBorderDxfId="20" tableBorderDxfId="19">
  <autoFilter ref="A1:R301" xr:uid="{5FCFBD10-E186-4196-9E67-225048CBE029}"/>
  <tableColumns count="18">
    <tableColumn id="1" xr3:uid="{2EAB9D1A-E85B-4A95-ACCB-192FD02DAE0E}" name="index" dataDxfId="18"/>
    <tableColumn id="2" xr3:uid="{5495CDED-8F6D-4C33-A845-E6FA0163962D}" name="order id" dataDxfId="17"/>
    <tableColumn id="3" xr3:uid="{6D42EAAD-D1BD-49F9-BC00-FB490AAED544}" name="customer id" dataDxfId="16"/>
    <tableColumn id="4" xr3:uid="{7090F4E4-4F1A-4DD8-BDC5-3785777832EE}" name="gender" dataDxfId="15"/>
    <tableColumn id="5" xr3:uid="{4BDE0779-03E9-4F4C-9045-9DD540CDC037}" name="age" dataDxfId="14"/>
    <tableColumn id="6" xr3:uid="{2D0F0A9C-D2FF-493A-84D8-166EBC206837}" name="age group" dataDxfId="13">
      <calculatedColumnFormula array="1">_xlfn.IFS(Table1[[#This Row],[age]]&gt;=50,"senior",Table1[[#This Row],[age]]&gt;20,"adult",Table1[[#This Row],[age]]&lt;=20,"teenager")</calculatedColumnFormula>
    </tableColumn>
    <tableColumn id="7" xr3:uid="{17BA9992-5774-45FE-9496-D10FB1A70F28}" name="date" dataDxfId="12"/>
    <tableColumn id="8" xr3:uid="{831A1A43-6373-457A-A9CE-6D77A473D330}" name="month" dataDxfId="11">
      <calculatedColumnFormula>TEXT(Table1[[#This Row],[date]],"mmm")</calculatedColumnFormula>
    </tableColumn>
    <tableColumn id="9" xr3:uid="{A3BAA868-0962-4B84-A444-2A96008A9F2C}" name="status" dataDxfId="10"/>
    <tableColumn id="10" xr3:uid="{1774841D-EFF0-4926-8047-392E3879CD3B}" name="SKU's" dataDxfId="9"/>
    <tableColumn id="11" xr3:uid="{B4E9DE6E-5E6E-4817-8EA5-9A490B39D18A}" name="channel" dataDxfId="8"/>
    <tableColumn id="12" xr3:uid="{F4C79A89-CD2D-41BC-9DBF-0D7625457EDF}" name="category" dataDxfId="7"/>
    <tableColumn id="13" xr3:uid="{C60DBA40-68D2-4E03-B631-D1831523FAC0}" name="size" dataDxfId="6"/>
    <tableColumn id="14" xr3:uid="{D94D5C7E-CA70-476C-9672-AA3A75B775D5}" name="quantity" dataDxfId="5"/>
    <tableColumn id="15" xr3:uid="{3AF6F619-7E9A-4D70-ADC4-FAF3CEFD5EC0}" name="currency" dataDxfId="4"/>
    <tableColumn id="16" xr3:uid="{188673E0-E8C2-4073-AC01-3C0920FF612F}" name="amount" dataDxfId="3"/>
    <tableColumn id="17" xr3:uid="{B2430A42-3FFA-4116-8D38-2A661465B5EF}" name="shipping city" dataDxfId="2"/>
    <tableColumn id="18" xr3:uid="{44D0F5C4-8FC7-41A3-BB54-7C1AD4BC76F3}" name="ship country" dataDxfId="1"/>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302E8-6064-47DA-BB18-E0ACF954DDAA}">
  <dimension ref="A3:C15"/>
  <sheetViews>
    <sheetView workbookViewId="0">
      <selection activeCell="C5" sqref="C5"/>
    </sheetView>
  </sheetViews>
  <sheetFormatPr defaultRowHeight="14.4" x14ac:dyDescent="0.3"/>
  <cols>
    <col min="1" max="1" width="12.5546875" bestFit="1" customWidth="1"/>
    <col min="2" max="2" width="14.21875" bestFit="1" customWidth="1"/>
    <col min="3" max="3" width="15.44140625" bestFit="1" customWidth="1"/>
  </cols>
  <sheetData>
    <row r="3" spans="1:3" x14ac:dyDescent="0.3">
      <c r="A3" s="12" t="s">
        <v>679</v>
      </c>
      <c r="B3" t="s">
        <v>678</v>
      </c>
      <c r="C3" t="s">
        <v>693</v>
      </c>
    </row>
    <row r="4" spans="1:3" x14ac:dyDescent="0.3">
      <c r="A4" s="13" t="s">
        <v>680</v>
      </c>
      <c r="B4">
        <v>4017</v>
      </c>
      <c r="C4">
        <v>5</v>
      </c>
    </row>
    <row r="5" spans="1:3" x14ac:dyDescent="0.3">
      <c r="A5" s="13" t="s">
        <v>681</v>
      </c>
      <c r="B5">
        <v>4618</v>
      </c>
      <c r="C5">
        <v>6</v>
      </c>
    </row>
    <row r="6" spans="1:3" x14ac:dyDescent="0.3">
      <c r="A6" s="13" t="s">
        <v>682</v>
      </c>
      <c r="B6">
        <v>11496</v>
      </c>
      <c r="C6">
        <v>8</v>
      </c>
    </row>
    <row r="7" spans="1:3" x14ac:dyDescent="0.3">
      <c r="A7" s="13" t="s">
        <v>683</v>
      </c>
      <c r="B7">
        <v>16285</v>
      </c>
      <c r="C7">
        <v>23</v>
      </c>
    </row>
    <row r="8" spans="1:3" x14ac:dyDescent="0.3">
      <c r="A8" s="13" t="s">
        <v>684</v>
      </c>
      <c r="B8">
        <v>37452</v>
      </c>
      <c r="C8">
        <v>31</v>
      </c>
    </row>
    <row r="9" spans="1:3" x14ac:dyDescent="0.3">
      <c r="A9" s="13" t="s">
        <v>685</v>
      </c>
      <c r="B9">
        <v>23319</v>
      </c>
      <c r="C9">
        <v>30</v>
      </c>
    </row>
    <row r="10" spans="1:3" x14ac:dyDescent="0.3">
      <c r="A10" s="13" t="s">
        <v>686</v>
      </c>
      <c r="B10">
        <v>29783</v>
      </c>
      <c r="C10">
        <v>31</v>
      </c>
    </row>
    <row r="11" spans="1:3" x14ac:dyDescent="0.3">
      <c r="A11" s="13" t="s">
        <v>687</v>
      </c>
      <c r="B11">
        <v>30451</v>
      </c>
      <c r="C11">
        <v>31</v>
      </c>
    </row>
    <row r="12" spans="1:3" x14ac:dyDescent="0.3">
      <c r="A12" s="13" t="s">
        <v>688</v>
      </c>
      <c r="B12">
        <v>24793</v>
      </c>
      <c r="C12">
        <v>30</v>
      </c>
    </row>
    <row r="13" spans="1:3" x14ac:dyDescent="0.3">
      <c r="A13" s="13" t="s">
        <v>689</v>
      </c>
      <c r="B13">
        <v>54702</v>
      </c>
      <c r="C13">
        <v>38</v>
      </c>
    </row>
    <row r="14" spans="1:3" x14ac:dyDescent="0.3">
      <c r="A14" s="13" t="s">
        <v>690</v>
      </c>
      <c r="B14">
        <v>48823</v>
      </c>
      <c r="C14">
        <v>41</v>
      </c>
    </row>
    <row r="15" spans="1:3" x14ac:dyDescent="0.3">
      <c r="A15" s="13" t="s">
        <v>691</v>
      </c>
      <c r="B15">
        <v>35200</v>
      </c>
      <c r="C15">
        <v>26</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F3F48-7723-4C92-9669-491C05A07633}">
  <dimension ref="A3:B6"/>
  <sheetViews>
    <sheetView workbookViewId="0">
      <selection activeCell="K20" sqref="K20"/>
    </sheetView>
  </sheetViews>
  <sheetFormatPr defaultRowHeight="14.4" x14ac:dyDescent="0.3"/>
  <cols>
    <col min="1" max="1" width="12.5546875" bestFit="1" customWidth="1"/>
    <col min="2" max="2" width="14.21875" bestFit="1" customWidth="1"/>
  </cols>
  <sheetData>
    <row r="3" spans="1:2" x14ac:dyDescent="0.3">
      <c r="A3" s="12" t="s">
        <v>679</v>
      </c>
      <c r="B3" t="s">
        <v>678</v>
      </c>
    </row>
    <row r="4" spans="1:2" x14ac:dyDescent="0.3">
      <c r="A4" s="13" t="s">
        <v>16</v>
      </c>
      <c r="B4">
        <v>227438</v>
      </c>
    </row>
    <row r="5" spans="1:2" x14ac:dyDescent="0.3">
      <c r="A5" s="13" t="s">
        <v>15</v>
      </c>
      <c r="B5">
        <v>93501</v>
      </c>
    </row>
    <row r="6" spans="1:2" x14ac:dyDescent="0.3">
      <c r="A6" s="13" t="s">
        <v>692</v>
      </c>
      <c r="B6">
        <v>320939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A0E5A-DC09-4056-8D4A-CC5453B7974E}">
  <dimension ref="A3:B6"/>
  <sheetViews>
    <sheetView workbookViewId="0">
      <selection activeCell="H19" sqref="H19"/>
    </sheetView>
  </sheetViews>
  <sheetFormatPr defaultRowHeight="14.4" x14ac:dyDescent="0.3"/>
  <cols>
    <col min="1" max="1" width="12.5546875" bestFit="1" customWidth="1"/>
    <col min="2" max="2" width="14.21875" bestFit="1" customWidth="1"/>
  </cols>
  <sheetData>
    <row r="3" spans="1:2" x14ac:dyDescent="0.3">
      <c r="A3" s="12" t="s">
        <v>679</v>
      </c>
      <c r="B3" t="s">
        <v>678</v>
      </c>
    </row>
    <row r="4" spans="1:2" x14ac:dyDescent="0.3">
      <c r="A4" s="13" t="s">
        <v>694</v>
      </c>
      <c r="B4">
        <v>275304</v>
      </c>
    </row>
    <row r="5" spans="1:2" x14ac:dyDescent="0.3">
      <c r="A5" s="13" t="s">
        <v>696</v>
      </c>
      <c r="B5">
        <v>35654</v>
      </c>
    </row>
    <row r="6" spans="1:2" x14ac:dyDescent="0.3">
      <c r="A6" s="13" t="s">
        <v>695</v>
      </c>
      <c r="B6">
        <v>9981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D625D-2BF6-4F2D-B4F0-E1AB80DEDE39}">
  <dimension ref="A1:X44"/>
  <sheetViews>
    <sheetView showGridLines="0" tabSelected="1" workbookViewId="0">
      <selection activeCell="K41" sqref="K41"/>
    </sheetView>
  </sheetViews>
  <sheetFormatPr defaultRowHeight="14.4" x14ac:dyDescent="0.3"/>
  <sheetData>
    <row r="1" spans="1:24" ht="31.2" x14ac:dyDescent="0.6">
      <c r="A1" s="16" t="s">
        <v>697</v>
      </c>
      <c r="B1" s="16"/>
      <c r="C1" s="16"/>
      <c r="D1" s="16"/>
      <c r="E1" s="16"/>
      <c r="F1" s="16"/>
      <c r="G1" s="16"/>
      <c r="H1" s="16"/>
      <c r="I1" s="16"/>
      <c r="J1" s="16"/>
      <c r="K1" s="16"/>
      <c r="L1" s="16"/>
      <c r="M1" s="16"/>
      <c r="N1" s="16"/>
      <c r="O1" s="16"/>
      <c r="P1" s="16"/>
      <c r="Q1" s="16"/>
      <c r="R1" s="16"/>
      <c r="S1" s="16"/>
      <c r="T1" s="16"/>
      <c r="U1" s="16"/>
      <c r="V1" s="16"/>
      <c r="W1" s="16"/>
      <c r="X1" s="14"/>
    </row>
    <row r="2" spans="1:24" x14ac:dyDescent="0.3">
      <c r="A2" s="15"/>
      <c r="B2" s="15"/>
      <c r="C2" s="15"/>
      <c r="D2" s="15"/>
      <c r="E2" s="15"/>
      <c r="F2" s="15"/>
      <c r="G2" s="15"/>
      <c r="H2" s="15"/>
      <c r="I2" s="15"/>
      <c r="J2" s="15"/>
      <c r="K2" s="15"/>
      <c r="L2" s="15"/>
      <c r="M2" s="15"/>
      <c r="N2" s="15"/>
      <c r="O2" s="15"/>
      <c r="P2" s="15"/>
      <c r="Q2" s="15"/>
      <c r="R2" s="15"/>
      <c r="S2" s="15"/>
      <c r="T2" s="15"/>
      <c r="U2" s="15"/>
      <c r="V2" s="15"/>
      <c r="W2" s="15"/>
      <c r="X2" s="15"/>
    </row>
    <row r="3" spans="1:24" x14ac:dyDescent="0.3">
      <c r="A3" s="15"/>
      <c r="B3" s="15"/>
      <c r="C3" s="15"/>
      <c r="D3" s="15"/>
      <c r="E3" s="15"/>
      <c r="F3" s="15"/>
      <c r="G3" s="15"/>
      <c r="H3" s="15"/>
      <c r="I3" s="15"/>
      <c r="J3" s="15"/>
      <c r="K3" s="15"/>
      <c r="L3" s="15"/>
      <c r="M3" s="15"/>
      <c r="N3" s="15"/>
      <c r="O3" s="15"/>
      <c r="P3" s="15"/>
      <c r="Q3" s="15"/>
      <c r="R3" s="15"/>
      <c r="S3" s="15"/>
      <c r="T3" s="15"/>
      <c r="U3" s="15"/>
      <c r="V3" s="15"/>
      <c r="W3" s="15"/>
      <c r="X3" s="15"/>
    </row>
    <row r="4" spans="1:24" x14ac:dyDescent="0.3">
      <c r="A4" s="15"/>
      <c r="B4" s="15"/>
      <c r="C4" s="15"/>
      <c r="D4" s="15"/>
      <c r="E4" s="15"/>
      <c r="F4" s="15"/>
      <c r="G4" s="15"/>
      <c r="H4" s="15"/>
      <c r="I4" s="15"/>
      <c r="J4" s="15"/>
      <c r="K4" s="15"/>
      <c r="L4" s="15"/>
      <c r="M4" s="15"/>
      <c r="N4" s="15"/>
      <c r="O4" s="15"/>
      <c r="P4" s="15"/>
      <c r="Q4" s="15"/>
      <c r="R4" s="15"/>
      <c r="S4" s="15"/>
      <c r="T4" s="15"/>
      <c r="U4" s="15"/>
      <c r="V4" s="15"/>
      <c r="W4" s="15"/>
      <c r="X4" s="15"/>
    </row>
    <row r="5" spans="1:24" x14ac:dyDescent="0.3">
      <c r="A5" s="15"/>
      <c r="B5" s="15"/>
      <c r="C5" s="15"/>
      <c r="D5" s="15"/>
      <c r="E5" s="15"/>
      <c r="F5" s="15"/>
      <c r="G5" s="15"/>
      <c r="H5" s="15"/>
      <c r="I5" s="15"/>
      <c r="J5" s="15"/>
      <c r="K5" s="15"/>
      <c r="L5" s="15"/>
      <c r="M5" s="15"/>
      <c r="N5" s="15"/>
      <c r="O5" s="15"/>
      <c r="P5" s="15"/>
      <c r="Q5" s="15"/>
      <c r="R5" s="15"/>
      <c r="S5" s="15"/>
      <c r="T5" s="15"/>
      <c r="U5" s="15"/>
      <c r="V5" s="15"/>
      <c r="W5" s="15"/>
      <c r="X5" s="15"/>
    </row>
    <row r="6" spans="1:24" x14ac:dyDescent="0.3">
      <c r="A6" s="15"/>
      <c r="B6" s="15"/>
      <c r="C6" s="15"/>
      <c r="D6" s="15"/>
      <c r="E6" s="15"/>
      <c r="F6" s="15"/>
      <c r="G6" s="15"/>
      <c r="H6" s="15"/>
      <c r="I6" s="15"/>
      <c r="J6" s="15"/>
      <c r="K6" s="15"/>
      <c r="L6" s="15"/>
      <c r="M6" s="15"/>
      <c r="N6" s="15"/>
      <c r="O6" s="15"/>
      <c r="P6" s="15"/>
      <c r="Q6" s="15"/>
      <c r="R6" s="15"/>
      <c r="S6" s="15"/>
      <c r="T6" s="15"/>
      <c r="U6" s="15"/>
      <c r="V6" s="15"/>
      <c r="W6" s="15"/>
      <c r="X6" s="15"/>
    </row>
    <row r="7" spans="1:24" x14ac:dyDescent="0.3">
      <c r="A7" s="15"/>
      <c r="B7" s="15"/>
      <c r="C7" s="15"/>
      <c r="D7" s="15"/>
      <c r="E7" s="15"/>
      <c r="F7" s="15"/>
      <c r="G7" s="15"/>
      <c r="H7" s="15"/>
      <c r="I7" s="15"/>
      <c r="J7" s="15"/>
      <c r="K7" s="15"/>
      <c r="L7" s="15"/>
      <c r="M7" s="15"/>
      <c r="N7" s="15"/>
      <c r="O7" s="15"/>
      <c r="P7" s="15"/>
      <c r="Q7" s="15"/>
      <c r="R7" s="15"/>
      <c r="S7" s="15"/>
      <c r="T7" s="15"/>
      <c r="U7" s="15"/>
      <c r="V7" s="15"/>
      <c r="W7" s="15"/>
      <c r="X7" s="15"/>
    </row>
    <row r="8" spans="1:24" x14ac:dyDescent="0.3">
      <c r="A8" s="15"/>
      <c r="B8" s="15"/>
      <c r="C8" s="15"/>
      <c r="D8" s="15"/>
      <c r="E8" s="15"/>
      <c r="F8" s="15"/>
      <c r="G8" s="15"/>
      <c r="H8" s="15"/>
      <c r="I8" s="15"/>
      <c r="J8" s="15"/>
      <c r="K8" s="15"/>
      <c r="L8" s="15"/>
      <c r="M8" s="15"/>
      <c r="N8" s="15"/>
      <c r="O8" s="15"/>
      <c r="P8" s="15"/>
      <c r="Q8" s="15"/>
      <c r="R8" s="15"/>
      <c r="S8" s="15"/>
      <c r="T8" s="15"/>
      <c r="U8" s="15"/>
      <c r="V8" s="15"/>
      <c r="W8" s="15"/>
      <c r="X8" s="15"/>
    </row>
    <row r="9" spans="1:24" x14ac:dyDescent="0.3">
      <c r="A9" s="15"/>
      <c r="B9" s="15"/>
      <c r="C9" s="15"/>
      <c r="D9" s="15"/>
      <c r="E9" s="15"/>
      <c r="F9" s="15"/>
      <c r="G9" s="15"/>
      <c r="H9" s="15"/>
      <c r="I9" s="15"/>
      <c r="J9" s="15"/>
      <c r="K9" s="15"/>
      <c r="L9" s="15"/>
      <c r="M9" s="15"/>
      <c r="N9" s="15"/>
      <c r="O9" s="15"/>
      <c r="P9" s="15"/>
      <c r="Q9" s="15"/>
      <c r="R9" s="15"/>
      <c r="S9" s="15"/>
      <c r="T9" s="15"/>
      <c r="U9" s="15"/>
      <c r="V9" s="15"/>
      <c r="W9" s="15"/>
      <c r="X9" s="15"/>
    </row>
    <row r="10" spans="1:24" x14ac:dyDescent="0.3">
      <c r="A10" s="15"/>
      <c r="B10" s="15"/>
      <c r="C10" s="15"/>
      <c r="D10" s="15"/>
      <c r="E10" s="15"/>
      <c r="F10" s="15"/>
      <c r="G10" s="15"/>
      <c r="H10" s="15"/>
      <c r="I10" s="15"/>
      <c r="J10" s="15"/>
      <c r="K10" s="15"/>
      <c r="L10" s="15"/>
      <c r="M10" s="15"/>
      <c r="N10" s="15"/>
      <c r="O10" s="15"/>
      <c r="P10" s="15"/>
      <c r="Q10" s="15"/>
      <c r="R10" s="15"/>
      <c r="S10" s="15"/>
      <c r="T10" s="15"/>
      <c r="U10" s="15"/>
      <c r="V10" s="15"/>
      <c r="W10" s="15"/>
      <c r="X10" s="15"/>
    </row>
    <row r="11" spans="1:24" x14ac:dyDescent="0.3">
      <c r="A11" s="15"/>
      <c r="B11" s="15"/>
      <c r="C11" s="15"/>
      <c r="D11" s="15"/>
      <c r="E11" s="15"/>
      <c r="F11" s="15"/>
      <c r="G11" s="15"/>
      <c r="H11" s="15"/>
      <c r="I11" s="15"/>
      <c r="J11" s="15"/>
      <c r="K11" s="15"/>
      <c r="L11" s="15"/>
      <c r="M11" s="15"/>
      <c r="N11" s="15"/>
      <c r="O11" s="15"/>
      <c r="P11" s="15"/>
      <c r="Q11" s="15"/>
      <c r="R11" s="15"/>
      <c r="S11" s="15"/>
      <c r="T11" s="15"/>
      <c r="U11" s="15"/>
      <c r="V11" s="15"/>
      <c r="W11" s="15"/>
      <c r="X11" s="15"/>
    </row>
    <row r="12" spans="1:24" x14ac:dyDescent="0.3">
      <c r="A12" s="15"/>
      <c r="B12" s="15"/>
      <c r="C12" s="15"/>
      <c r="D12" s="15"/>
      <c r="E12" s="15"/>
      <c r="F12" s="15"/>
      <c r="G12" s="15"/>
      <c r="H12" s="15"/>
      <c r="I12" s="15"/>
      <c r="J12" s="15"/>
      <c r="K12" s="15"/>
      <c r="L12" s="15"/>
      <c r="M12" s="15"/>
      <c r="N12" s="15"/>
      <c r="O12" s="15"/>
      <c r="P12" s="15"/>
      <c r="Q12" s="15"/>
      <c r="R12" s="15"/>
      <c r="S12" s="15"/>
      <c r="T12" s="15"/>
      <c r="U12" s="15"/>
      <c r="V12" s="15"/>
      <c r="W12" s="15"/>
      <c r="X12" s="15"/>
    </row>
    <row r="13" spans="1:24" x14ac:dyDescent="0.3">
      <c r="A13" s="15"/>
      <c r="B13" s="15"/>
      <c r="C13" s="15"/>
      <c r="D13" s="15"/>
      <c r="E13" s="15"/>
      <c r="F13" s="15"/>
      <c r="G13" s="15"/>
      <c r="H13" s="15"/>
      <c r="I13" s="15"/>
      <c r="J13" s="15"/>
      <c r="K13" s="15"/>
      <c r="L13" s="15"/>
      <c r="M13" s="15"/>
      <c r="N13" s="15"/>
      <c r="O13" s="15"/>
      <c r="P13" s="15"/>
      <c r="Q13" s="15"/>
      <c r="R13" s="15"/>
      <c r="S13" s="15"/>
      <c r="T13" s="15"/>
      <c r="U13" s="15"/>
      <c r="V13" s="15"/>
      <c r="W13" s="15"/>
      <c r="X13" s="15"/>
    </row>
    <row r="14" spans="1:24" x14ac:dyDescent="0.3">
      <c r="A14" s="15"/>
      <c r="B14" s="15"/>
      <c r="C14" s="15"/>
      <c r="D14" s="15"/>
      <c r="E14" s="15"/>
      <c r="F14" s="15"/>
      <c r="G14" s="15"/>
      <c r="H14" s="15"/>
      <c r="I14" s="15"/>
      <c r="J14" s="15"/>
      <c r="K14" s="15"/>
      <c r="L14" s="15"/>
      <c r="M14" s="15"/>
      <c r="N14" s="15"/>
      <c r="O14" s="15"/>
      <c r="P14" s="15"/>
      <c r="Q14" s="15"/>
      <c r="R14" s="15"/>
      <c r="S14" s="15"/>
      <c r="T14" s="15"/>
      <c r="U14" s="15"/>
      <c r="V14" s="15"/>
      <c r="W14" s="15"/>
      <c r="X14" s="15"/>
    </row>
    <row r="15" spans="1:24" x14ac:dyDescent="0.3">
      <c r="A15" s="15"/>
      <c r="B15" s="15"/>
      <c r="C15" s="15"/>
      <c r="D15" s="15"/>
      <c r="E15" s="15"/>
      <c r="F15" s="15"/>
      <c r="G15" s="15"/>
      <c r="H15" s="15"/>
      <c r="I15" s="15"/>
      <c r="J15" s="15"/>
      <c r="K15" s="15"/>
      <c r="L15" s="15"/>
      <c r="M15" s="15"/>
      <c r="N15" s="15"/>
      <c r="O15" s="15"/>
      <c r="P15" s="15"/>
      <c r="Q15" s="15"/>
      <c r="R15" s="15"/>
      <c r="S15" s="15"/>
      <c r="T15" s="15"/>
      <c r="U15" s="15"/>
      <c r="V15" s="15"/>
      <c r="W15" s="15"/>
      <c r="X15" s="15"/>
    </row>
    <row r="16" spans="1:24" x14ac:dyDescent="0.3">
      <c r="A16" s="15"/>
      <c r="B16" s="15"/>
      <c r="C16" s="15"/>
      <c r="D16" s="15"/>
      <c r="E16" s="15"/>
      <c r="F16" s="15"/>
      <c r="G16" s="15"/>
      <c r="H16" s="15"/>
      <c r="I16" s="15"/>
      <c r="J16" s="15"/>
      <c r="K16" s="15"/>
      <c r="L16" s="15"/>
      <c r="M16" s="15"/>
      <c r="N16" s="15"/>
      <c r="O16" s="15"/>
      <c r="P16" s="15"/>
      <c r="Q16" s="15"/>
      <c r="R16" s="15"/>
      <c r="S16" s="15"/>
      <c r="T16" s="15"/>
      <c r="U16" s="15"/>
      <c r="V16" s="15"/>
      <c r="W16" s="15"/>
      <c r="X16" s="15"/>
    </row>
    <row r="17" spans="1:24" x14ac:dyDescent="0.3">
      <c r="A17" s="15"/>
      <c r="B17" s="15"/>
      <c r="C17" s="15"/>
      <c r="D17" s="15"/>
      <c r="E17" s="15"/>
      <c r="F17" s="15"/>
      <c r="G17" s="15"/>
      <c r="H17" s="15"/>
      <c r="I17" s="15"/>
      <c r="J17" s="15"/>
      <c r="K17" s="15"/>
      <c r="L17" s="15"/>
      <c r="M17" s="15"/>
      <c r="N17" s="15"/>
      <c r="O17" s="15"/>
      <c r="P17" s="15"/>
      <c r="Q17" s="15"/>
      <c r="R17" s="15"/>
      <c r="S17" s="15"/>
      <c r="T17" s="15"/>
      <c r="U17" s="15"/>
      <c r="V17" s="15"/>
      <c r="W17" s="15"/>
      <c r="X17" s="15"/>
    </row>
    <row r="18" spans="1:24" x14ac:dyDescent="0.3">
      <c r="A18" s="15"/>
      <c r="B18" s="15"/>
      <c r="C18" s="15"/>
      <c r="D18" s="15"/>
      <c r="E18" s="15"/>
      <c r="F18" s="15"/>
      <c r="G18" s="15"/>
      <c r="H18" s="15"/>
      <c r="I18" s="15"/>
      <c r="J18" s="15"/>
      <c r="K18" s="15"/>
      <c r="L18" s="15"/>
      <c r="M18" s="15"/>
      <c r="N18" s="15"/>
      <c r="O18" s="15"/>
      <c r="P18" s="15"/>
      <c r="Q18" s="15"/>
      <c r="R18" s="15"/>
      <c r="S18" s="15"/>
      <c r="T18" s="15"/>
      <c r="U18" s="15"/>
      <c r="V18" s="15"/>
      <c r="W18" s="15"/>
      <c r="X18" s="15"/>
    </row>
    <row r="19" spans="1:24" x14ac:dyDescent="0.3">
      <c r="A19" s="15"/>
      <c r="B19" s="15"/>
      <c r="C19" s="15"/>
      <c r="D19" s="15"/>
      <c r="E19" s="15"/>
      <c r="F19" s="15"/>
      <c r="G19" s="15"/>
      <c r="H19" s="15"/>
      <c r="I19" s="15"/>
      <c r="J19" s="15"/>
      <c r="K19" s="15"/>
      <c r="L19" s="15"/>
      <c r="M19" s="15"/>
      <c r="N19" s="15"/>
      <c r="O19" s="15"/>
      <c r="P19" s="15"/>
      <c r="Q19" s="15"/>
      <c r="R19" s="15"/>
      <c r="S19" s="15"/>
      <c r="T19" s="15"/>
      <c r="U19" s="15"/>
      <c r="V19" s="15"/>
      <c r="W19" s="15"/>
      <c r="X19" s="15"/>
    </row>
    <row r="20" spans="1:24" x14ac:dyDescent="0.3">
      <c r="A20" s="15"/>
      <c r="B20" s="15"/>
      <c r="C20" s="15"/>
      <c r="D20" s="15"/>
      <c r="E20" s="15"/>
      <c r="F20" s="15"/>
      <c r="G20" s="15"/>
      <c r="H20" s="15"/>
      <c r="I20" s="15"/>
      <c r="J20" s="15"/>
      <c r="K20" s="15"/>
      <c r="L20" s="15"/>
      <c r="M20" s="15"/>
      <c r="N20" s="15"/>
      <c r="O20" s="15"/>
      <c r="P20" s="15"/>
      <c r="Q20" s="15"/>
      <c r="R20" s="15"/>
      <c r="S20" s="15"/>
      <c r="T20" s="15"/>
      <c r="U20" s="15"/>
      <c r="V20" s="15"/>
      <c r="W20" s="15"/>
      <c r="X20" s="15"/>
    </row>
    <row r="21" spans="1:24" x14ac:dyDescent="0.3">
      <c r="A21" s="15"/>
      <c r="B21" s="15"/>
      <c r="C21" s="15"/>
      <c r="D21" s="15"/>
      <c r="E21" s="15"/>
      <c r="F21" s="15"/>
      <c r="G21" s="15"/>
      <c r="H21" s="15"/>
      <c r="I21" s="15"/>
      <c r="J21" s="15"/>
      <c r="K21" s="15"/>
      <c r="L21" s="15"/>
      <c r="M21" s="15"/>
      <c r="N21" s="15"/>
      <c r="O21" s="15"/>
      <c r="P21" s="15"/>
      <c r="Q21" s="15"/>
      <c r="R21" s="15"/>
      <c r="S21" s="15"/>
      <c r="T21" s="15"/>
      <c r="U21" s="15"/>
      <c r="V21" s="15"/>
      <c r="W21" s="15"/>
      <c r="X21" s="15"/>
    </row>
    <row r="22" spans="1:24" x14ac:dyDescent="0.3">
      <c r="A22" s="15"/>
      <c r="B22" s="15"/>
      <c r="C22" s="15"/>
      <c r="D22" s="15"/>
      <c r="E22" s="15"/>
      <c r="F22" s="15"/>
      <c r="G22" s="15"/>
      <c r="H22" s="15"/>
      <c r="I22" s="15"/>
      <c r="J22" s="15"/>
      <c r="K22" s="15"/>
      <c r="L22" s="15"/>
      <c r="M22" s="15"/>
      <c r="N22" s="15"/>
      <c r="O22" s="15"/>
      <c r="P22" s="15"/>
      <c r="Q22" s="15"/>
      <c r="R22" s="15"/>
      <c r="S22" s="15"/>
      <c r="T22" s="15"/>
      <c r="U22" s="15"/>
      <c r="V22" s="15"/>
      <c r="W22" s="15"/>
      <c r="X22" s="15"/>
    </row>
    <row r="23" spans="1:24" x14ac:dyDescent="0.3">
      <c r="A23" s="15"/>
      <c r="B23" s="15"/>
      <c r="C23" s="15"/>
      <c r="D23" s="15"/>
      <c r="E23" s="15"/>
      <c r="F23" s="15"/>
      <c r="G23" s="15"/>
      <c r="H23" s="15"/>
      <c r="I23" s="15"/>
      <c r="J23" s="15"/>
      <c r="K23" s="15"/>
      <c r="L23" s="15"/>
      <c r="M23" s="15"/>
      <c r="N23" s="15"/>
      <c r="O23" s="15"/>
      <c r="P23" s="15"/>
      <c r="Q23" s="15"/>
      <c r="R23" s="15"/>
      <c r="S23" s="15"/>
      <c r="T23" s="15"/>
      <c r="U23" s="15"/>
      <c r="V23" s="15"/>
      <c r="W23" s="15"/>
      <c r="X23" s="15"/>
    </row>
    <row r="24" spans="1:24" x14ac:dyDescent="0.3">
      <c r="A24" s="15"/>
      <c r="B24" s="15"/>
      <c r="C24" s="15"/>
      <c r="D24" s="15"/>
      <c r="E24" s="15"/>
      <c r="F24" s="15"/>
      <c r="G24" s="15"/>
      <c r="H24" s="15"/>
      <c r="I24" s="15"/>
      <c r="J24" s="15"/>
      <c r="K24" s="15"/>
      <c r="L24" s="15"/>
      <c r="M24" s="15"/>
      <c r="N24" s="15"/>
      <c r="O24" s="15"/>
      <c r="P24" s="15"/>
      <c r="Q24" s="15"/>
      <c r="R24" s="15"/>
      <c r="S24" s="15"/>
      <c r="T24" s="15"/>
      <c r="U24" s="15"/>
      <c r="V24" s="15"/>
      <c r="W24" s="15"/>
      <c r="X24" s="15"/>
    </row>
    <row r="25" spans="1:24" x14ac:dyDescent="0.3">
      <c r="A25" s="15"/>
      <c r="B25" s="15"/>
      <c r="C25" s="15"/>
      <c r="D25" s="15"/>
      <c r="E25" s="15"/>
      <c r="F25" s="15"/>
      <c r="G25" s="15"/>
      <c r="H25" s="15"/>
      <c r="I25" s="15"/>
      <c r="J25" s="15"/>
      <c r="K25" s="15"/>
      <c r="L25" s="15"/>
      <c r="M25" s="15"/>
      <c r="N25" s="15"/>
      <c r="O25" s="15"/>
      <c r="P25" s="15"/>
      <c r="Q25" s="15"/>
      <c r="R25" s="15"/>
      <c r="S25" s="15"/>
      <c r="T25" s="15"/>
      <c r="U25" s="15"/>
      <c r="V25" s="15"/>
      <c r="W25" s="15"/>
      <c r="X25" s="15"/>
    </row>
    <row r="26" spans="1:24" x14ac:dyDescent="0.3">
      <c r="A26" s="15"/>
      <c r="B26" s="15"/>
      <c r="C26" s="15"/>
      <c r="D26" s="15"/>
      <c r="E26" s="15"/>
      <c r="F26" s="15"/>
      <c r="G26" s="15"/>
      <c r="H26" s="15"/>
      <c r="I26" s="15"/>
      <c r="J26" s="15"/>
      <c r="K26" s="15"/>
      <c r="L26" s="15"/>
      <c r="M26" s="15"/>
      <c r="N26" s="15"/>
      <c r="O26" s="15"/>
      <c r="P26" s="15"/>
      <c r="Q26" s="15"/>
      <c r="R26" s="15"/>
      <c r="S26" s="15"/>
      <c r="T26" s="15"/>
      <c r="U26" s="15"/>
      <c r="V26" s="15"/>
      <c r="W26" s="15"/>
      <c r="X26" s="15"/>
    </row>
    <row r="27" spans="1:24" x14ac:dyDescent="0.3">
      <c r="A27" s="15"/>
      <c r="B27" s="15"/>
      <c r="C27" s="15"/>
      <c r="D27" s="15"/>
      <c r="E27" s="15"/>
      <c r="F27" s="15"/>
      <c r="G27" s="15"/>
      <c r="H27" s="15"/>
      <c r="I27" s="15"/>
      <c r="J27" s="15"/>
      <c r="K27" s="15"/>
      <c r="L27" s="15"/>
      <c r="M27" s="15"/>
      <c r="N27" s="15"/>
      <c r="O27" s="15"/>
      <c r="P27" s="15"/>
      <c r="Q27" s="15"/>
      <c r="R27" s="15"/>
      <c r="S27" s="15"/>
      <c r="T27" s="15"/>
      <c r="U27" s="15"/>
      <c r="V27" s="15"/>
      <c r="W27" s="15"/>
      <c r="X27" s="15"/>
    </row>
    <row r="28" spans="1:24" x14ac:dyDescent="0.3">
      <c r="A28" s="15"/>
      <c r="B28" s="15"/>
      <c r="C28" s="15"/>
      <c r="D28" s="15"/>
      <c r="E28" s="15"/>
      <c r="F28" s="15"/>
      <c r="G28" s="15"/>
      <c r="H28" s="15"/>
      <c r="I28" s="15"/>
      <c r="J28" s="15"/>
      <c r="K28" s="15"/>
      <c r="L28" s="15"/>
      <c r="M28" s="15"/>
      <c r="N28" s="15"/>
      <c r="O28" s="15"/>
      <c r="P28" s="15"/>
      <c r="Q28" s="15"/>
      <c r="R28" s="15"/>
      <c r="S28" s="15"/>
      <c r="T28" s="15"/>
      <c r="U28" s="15"/>
      <c r="V28" s="15"/>
      <c r="W28" s="15"/>
      <c r="X28" s="15"/>
    </row>
    <row r="29" spans="1:24" x14ac:dyDescent="0.3">
      <c r="A29" s="15"/>
      <c r="B29" s="15"/>
      <c r="C29" s="15"/>
      <c r="D29" s="15"/>
      <c r="E29" s="15"/>
      <c r="F29" s="15"/>
      <c r="G29" s="15"/>
      <c r="H29" s="15"/>
      <c r="I29" s="15"/>
      <c r="J29" s="15"/>
      <c r="K29" s="15"/>
      <c r="L29" s="15"/>
      <c r="M29" s="15"/>
      <c r="N29" s="15"/>
      <c r="O29" s="15"/>
      <c r="P29" s="15"/>
      <c r="Q29" s="15"/>
      <c r="R29" s="15"/>
      <c r="S29" s="15"/>
      <c r="T29" s="15"/>
      <c r="U29" s="15"/>
      <c r="V29" s="15"/>
      <c r="W29" s="15"/>
      <c r="X29" s="15"/>
    </row>
    <row r="30" spans="1:24" x14ac:dyDescent="0.3">
      <c r="A30" s="15"/>
      <c r="B30" s="15"/>
      <c r="C30" s="15"/>
      <c r="D30" s="15"/>
      <c r="E30" s="15"/>
      <c r="F30" s="15"/>
      <c r="G30" s="15"/>
      <c r="H30" s="15"/>
      <c r="I30" s="15"/>
      <c r="J30" s="15"/>
      <c r="K30" s="15"/>
      <c r="L30" s="15"/>
      <c r="M30" s="15"/>
      <c r="N30" s="15"/>
      <c r="O30" s="15"/>
      <c r="P30" s="15"/>
      <c r="Q30" s="15"/>
      <c r="R30" s="15"/>
      <c r="S30" s="15"/>
      <c r="T30" s="15"/>
      <c r="U30" s="15"/>
      <c r="V30" s="15"/>
      <c r="W30" s="15"/>
      <c r="X30" s="15"/>
    </row>
    <row r="31" spans="1:24" x14ac:dyDescent="0.3">
      <c r="A31" s="15"/>
      <c r="B31" s="15"/>
      <c r="C31" s="15"/>
      <c r="D31" s="15"/>
      <c r="E31" s="15"/>
      <c r="F31" s="15"/>
      <c r="G31" s="15"/>
      <c r="H31" s="15"/>
      <c r="I31" s="15"/>
      <c r="J31" s="15"/>
      <c r="K31" s="15"/>
      <c r="L31" s="15"/>
      <c r="M31" s="15"/>
      <c r="N31" s="15"/>
      <c r="O31" s="15"/>
      <c r="P31" s="15"/>
      <c r="Q31" s="15"/>
      <c r="R31" s="15"/>
      <c r="S31" s="15"/>
      <c r="T31" s="15"/>
      <c r="U31" s="15"/>
      <c r="V31" s="15"/>
      <c r="W31" s="15"/>
      <c r="X31" s="15"/>
    </row>
    <row r="32" spans="1:24" x14ac:dyDescent="0.3">
      <c r="A32" s="15"/>
      <c r="B32" s="15"/>
      <c r="C32" s="15"/>
      <c r="D32" s="15"/>
      <c r="E32" s="15"/>
      <c r="F32" s="15"/>
      <c r="G32" s="15"/>
      <c r="H32" s="15"/>
      <c r="I32" s="15"/>
      <c r="J32" s="15"/>
      <c r="K32" s="15"/>
      <c r="L32" s="15"/>
      <c r="M32" s="15"/>
      <c r="N32" s="15"/>
      <c r="O32" s="15"/>
      <c r="P32" s="15"/>
      <c r="Q32" s="15"/>
      <c r="R32" s="15"/>
      <c r="S32" s="15"/>
      <c r="T32" s="15"/>
      <c r="U32" s="15"/>
      <c r="V32" s="15"/>
      <c r="W32" s="15"/>
      <c r="X32" s="15"/>
    </row>
    <row r="33" spans="1:24" x14ac:dyDescent="0.3">
      <c r="A33" s="15"/>
      <c r="B33" s="15"/>
      <c r="C33" s="15"/>
      <c r="D33" s="15"/>
      <c r="E33" s="15"/>
      <c r="F33" s="15"/>
      <c r="G33" s="15"/>
      <c r="H33" s="15"/>
      <c r="I33" s="15"/>
      <c r="J33" s="15"/>
      <c r="K33" s="15"/>
      <c r="L33" s="15"/>
      <c r="M33" s="15"/>
      <c r="N33" s="15"/>
      <c r="O33" s="15"/>
      <c r="P33" s="15"/>
      <c r="Q33" s="15"/>
      <c r="R33" s="15"/>
      <c r="S33" s="15"/>
      <c r="T33" s="15"/>
      <c r="U33" s="15"/>
      <c r="V33" s="15"/>
      <c r="W33" s="15"/>
      <c r="X33" s="15"/>
    </row>
    <row r="34" spans="1:24" x14ac:dyDescent="0.3">
      <c r="A34" s="15"/>
      <c r="B34" s="15"/>
      <c r="C34" s="15"/>
      <c r="D34" s="15"/>
      <c r="E34" s="15"/>
      <c r="F34" s="15"/>
      <c r="G34" s="15"/>
      <c r="H34" s="15"/>
      <c r="I34" s="15"/>
      <c r="J34" s="15"/>
      <c r="K34" s="15"/>
      <c r="L34" s="15"/>
      <c r="M34" s="15"/>
      <c r="N34" s="15"/>
      <c r="O34" s="15"/>
      <c r="P34" s="15"/>
      <c r="Q34" s="15"/>
      <c r="R34" s="15"/>
      <c r="S34" s="15"/>
      <c r="T34" s="15"/>
      <c r="U34" s="15"/>
      <c r="V34" s="15"/>
      <c r="W34" s="15"/>
      <c r="X34" s="15"/>
    </row>
    <row r="35" spans="1:24" x14ac:dyDescent="0.3">
      <c r="A35" s="15"/>
      <c r="B35" s="15"/>
      <c r="C35" s="15"/>
      <c r="D35" s="15"/>
      <c r="E35" s="15"/>
      <c r="F35" s="15"/>
      <c r="G35" s="15"/>
      <c r="H35" s="15"/>
      <c r="I35" s="15"/>
      <c r="J35" s="15"/>
      <c r="K35" s="15"/>
      <c r="L35" s="15"/>
      <c r="M35" s="15"/>
      <c r="N35" s="15"/>
      <c r="O35" s="15"/>
      <c r="P35" s="15"/>
      <c r="Q35" s="15"/>
      <c r="R35" s="15"/>
      <c r="S35" s="15"/>
      <c r="T35" s="15"/>
      <c r="U35" s="15"/>
      <c r="V35" s="15"/>
      <c r="W35" s="15"/>
      <c r="X35" s="15"/>
    </row>
    <row r="36" spans="1:24" x14ac:dyDescent="0.3">
      <c r="A36" s="15"/>
      <c r="B36" s="15"/>
      <c r="C36" s="15"/>
      <c r="D36" s="15"/>
      <c r="E36" s="15"/>
      <c r="F36" s="15"/>
      <c r="G36" s="15"/>
      <c r="H36" s="15"/>
      <c r="I36" s="15"/>
      <c r="J36" s="15"/>
      <c r="K36" s="15"/>
      <c r="L36" s="15"/>
      <c r="M36" s="15"/>
      <c r="N36" s="15"/>
      <c r="O36" s="15"/>
      <c r="P36" s="15"/>
      <c r="Q36" s="15"/>
      <c r="R36" s="15"/>
      <c r="S36" s="15"/>
      <c r="T36" s="15"/>
      <c r="U36" s="15"/>
      <c r="V36" s="15"/>
      <c r="W36" s="15"/>
      <c r="X36" s="15"/>
    </row>
    <row r="37" spans="1:24" x14ac:dyDescent="0.3">
      <c r="A37" s="15"/>
      <c r="B37" s="15"/>
      <c r="C37" s="15"/>
      <c r="D37" s="15"/>
      <c r="E37" s="15"/>
      <c r="F37" s="15"/>
      <c r="G37" s="15"/>
      <c r="H37" s="15"/>
      <c r="I37" s="15"/>
      <c r="J37" s="15"/>
      <c r="K37" s="15"/>
      <c r="L37" s="15"/>
      <c r="M37" s="15"/>
      <c r="N37" s="15"/>
      <c r="O37" s="15"/>
      <c r="P37" s="15"/>
      <c r="Q37" s="15"/>
      <c r="R37" s="15"/>
      <c r="S37" s="15"/>
      <c r="T37" s="15"/>
      <c r="U37" s="15"/>
      <c r="V37" s="15"/>
      <c r="W37" s="15"/>
      <c r="X37" s="15"/>
    </row>
    <row r="38" spans="1:24" x14ac:dyDescent="0.3">
      <c r="A38" s="15"/>
      <c r="B38" s="15"/>
      <c r="C38" s="15"/>
      <c r="D38" s="15"/>
      <c r="E38" s="15"/>
      <c r="F38" s="15"/>
      <c r="G38" s="15"/>
      <c r="H38" s="15"/>
      <c r="I38" s="15"/>
      <c r="J38" s="15"/>
      <c r="K38" s="15"/>
      <c r="L38" s="15"/>
      <c r="M38" s="15"/>
      <c r="N38" s="15"/>
      <c r="O38" s="15"/>
      <c r="P38" s="15"/>
      <c r="Q38" s="15"/>
      <c r="R38" s="15"/>
      <c r="S38" s="15"/>
      <c r="T38" s="15"/>
      <c r="U38" s="15"/>
      <c r="V38" s="15"/>
      <c r="W38" s="15"/>
      <c r="X38" s="15"/>
    </row>
    <row r="39" spans="1:24" x14ac:dyDescent="0.3">
      <c r="A39" s="15"/>
      <c r="B39" s="15"/>
      <c r="C39" s="15"/>
      <c r="D39" s="15"/>
      <c r="E39" s="15"/>
      <c r="F39" s="15"/>
      <c r="G39" s="15"/>
      <c r="H39" s="15"/>
      <c r="I39" s="15"/>
      <c r="J39" s="15"/>
      <c r="K39" s="15"/>
      <c r="L39" s="15"/>
      <c r="M39" s="15"/>
      <c r="N39" s="15"/>
      <c r="O39" s="15"/>
      <c r="P39" s="15"/>
      <c r="Q39" s="15"/>
      <c r="R39" s="15"/>
      <c r="S39" s="15"/>
      <c r="T39" s="15"/>
      <c r="U39" s="15"/>
      <c r="V39" s="15"/>
      <c r="W39" s="15"/>
      <c r="X39" s="15"/>
    </row>
    <row r="40" spans="1:24" x14ac:dyDescent="0.3">
      <c r="A40" s="15"/>
      <c r="B40" s="15"/>
      <c r="C40" s="15"/>
      <c r="D40" s="15"/>
      <c r="E40" s="15"/>
      <c r="F40" s="15"/>
      <c r="G40" s="15"/>
      <c r="H40" s="15"/>
      <c r="I40" s="15"/>
      <c r="J40" s="15"/>
      <c r="K40" s="15"/>
      <c r="L40" s="15"/>
      <c r="M40" s="15"/>
      <c r="N40" s="15"/>
      <c r="O40" s="15"/>
      <c r="P40" s="15"/>
      <c r="Q40" s="15"/>
      <c r="R40" s="15"/>
      <c r="S40" s="15"/>
      <c r="T40" s="15"/>
      <c r="U40" s="15"/>
      <c r="V40" s="15"/>
      <c r="W40" s="15"/>
      <c r="X40" s="15"/>
    </row>
    <row r="41" spans="1:24" x14ac:dyDescent="0.3">
      <c r="A41" s="15"/>
      <c r="B41" s="15"/>
      <c r="C41" s="15"/>
      <c r="D41" s="15"/>
      <c r="E41" s="15"/>
      <c r="F41" s="15"/>
      <c r="G41" s="15"/>
      <c r="H41" s="15"/>
      <c r="I41" s="15"/>
      <c r="J41" s="15"/>
      <c r="K41" s="15"/>
      <c r="L41" s="15"/>
      <c r="M41" s="15"/>
      <c r="N41" s="15"/>
      <c r="O41" s="15"/>
      <c r="P41" s="15"/>
      <c r="Q41" s="15"/>
      <c r="R41" s="15"/>
      <c r="S41" s="15"/>
      <c r="T41" s="15"/>
      <c r="U41" s="15"/>
      <c r="V41" s="15"/>
      <c r="W41" s="15"/>
      <c r="X41" s="15"/>
    </row>
    <row r="42" spans="1:24" x14ac:dyDescent="0.3">
      <c r="A42" s="15"/>
      <c r="B42" s="15"/>
      <c r="C42" s="15"/>
      <c r="D42" s="15"/>
      <c r="E42" s="15"/>
      <c r="F42" s="15"/>
      <c r="G42" s="15"/>
      <c r="H42" s="15"/>
      <c r="I42" s="15"/>
      <c r="J42" s="15"/>
      <c r="K42" s="15"/>
      <c r="L42" s="15"/>
      <c r="M42" s="15"/>
      <c r="N42" s="15"/>
      <c r="O42" s="15"/>
      <c r="P42" s="15"/>
      <c r="Q42" s="15"/>
      <c r="R42" s="15"/>
      <c r="S42" s="15"/>
      <c r="T42" s="15"/>
      <c r="U42" s="15"/>
      <c r="V42" s="15"/>
      <c r="W42" s="15"/>
      <c r="X42" s="15"/>
    </row>
    <row r="43" spans="1:24" x14ac:dyDescent="0.3">
      <c r="A43" s="15"/>
      <c r="B43" s="15"/>
      <c r="C43" s="15"/>
      <c r="D43" s="15"/>
      <c r="E43" s="15"/>
      <c r="F43" s="15"/>
      <c r="G43" s="15"/>
      <c r="H43" s="15"/>
      <c r="I43" s="15"/>
      <c r="J43" s="15"/>
      <c r="K43" s="15"/>
      <c r="L43" s="15"/>
      <c r="M43" s="15"/>
      <c r="N43" s="15"/>
      <c r="O43" s="15"/>
      <c r="P43" s="15"/>
      <c r="Q43" s="15"/>
      <c r="R43" s="15"/>
      <c r="S43" s="15"/>
      <c r="T43" s="15"/>
      <c r="U43" s="15"/>
      <c r="V43" s="15"/>
      <c r="W43" s="15"/>
      <c r="X43" s="15"/>
    </row>
    <row r="44" spans="1:24" x14ac:dyDescent="0.3">
      <c r="A44" s="15"/>
      <c r="B44" s="15"/>
      <c r="C44" s="15"/>
      <c r="D44" s="15"/>
      <c r="E44" s="15"/>
      <c r="F44" s="15"/>
      <c r="G44" s="15"/>
      <c r="H44" s="15"/>
      <c r="I44" s="15"/>
      <c r="J44" s="15"/>
      <c r="K44" s="15"/>
      <c r="L44" s="15"/>
      <c r="M44" s="15"/>
      <c r="N44" s="15"/>
      <c r="O44" s="15"/>
      <c r="P44" s="15"/>
      <c r="Q44" s="15"/>
      <c r="R44" s="15"/>
      <c r="S44" s="15"/>
      <c r="T44" s="15"/>
      <c r="U44" s="15"/>
      <c r="V44" s="15"/>
      <c r="W44" s="15"/>
      <c r="X44" s="15"/>
    </row>
  </sheetData>
  <mergeCells count="1">
    <mergeCell ref="A1:W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BC22D-5BF3-4888-B53F-2FDC04D72FE6}">
  <dimension ref="A3:B20"/>
  <sheetViews>
    <sheetView workbookViewId="0">
      <selection activeCell="N10" sqref="N10"/>
    </sheetView>
  </sheetViews>
  <sheetFormatPr defaultRowHeight="14.4" x14ac:dyDescent="0.3"/>
  <cols>
    <col min="1" max="1" width="12.5546875" bestFit="1" customWidth="1"/>
    <col min="2" max="2" width="14.21875" bestFit="1" customWidth="1"/>
  </cols>
  <sheetData>
    <row r="3" spans="1:2" x14ac:dyDescent="0.3">
      <c r="A3" s="12" t="s">
        <v>679</v>
      </c>
      <c r="B3" t="s">
        <v>678</v>
      </c>
    </row>
    <row r="4" spans="1:2" x14ac:dyDescent="0.3">
      <c r="A4" s="13" t="s">
        <v>28</v>
      </c>
      <c r="B4">
        <v>1160</v>
      </c>
    </row>
    <row r="5" spans="1:2" x14ac:dyDescent="0.3">
      <c r="A5" s="13" t="s">
        <v>20</v>
      </c>
      <c r="B5">
        <v>12465</v>
      </c>
    </row>
    <row r="6" spans="1:2" x14ac:dyDescent="0.3">
      <c r="A6" s="13" t="s">
        <v>31</v>
      </c>
      <c r="B6">
        <v>1250</v>
      </c>
    </row>
    <row r="7" spans="1:2" x14ac:dyDescent="0.3">
      <c r="A7" s="13" t="s">
        <v>25</v>
      </c>
      <c r="B7">
        <v>27867</v>
      </c>
    </row>
    <row r="8" spans="1:2" x14ac:dyDescent="0.3">
      <c r="A8" s="13" t="s">
        <v>32</v>
      </c>
      <c r="B8">
        <v>2515</v>
      </c>
    </row>
    <row r="9" spans="1:2" x14ac:dyDescent="0.3">
      <c r="A9" s="13" t="s">
        <v>22</v>
      </c>
      <c r="B9">
        <v>32623</v>
      </c>
    </row>
    <row r="10" spans="1:2" x14ac:dyDescent="0.3">
      <c r="A10" s="13" t="s">
        <v>29</v>
      </c>
      <c r="B10">
        <v>14618</v>
      </c>
    </row>
    <row r="11" spans="1:2" x14ac:dyDescent="0.3">
      <c r="A11" s="13" t="s">
        <v>52</v>
      </c>
      <c r="B11">
        <v>16124</v>
      </c>
    </row>
    <row r="12" spans="1:2" x14ac:dyDescent="0.3">
      <c r="A12" s="13" t="s">
        <v>18</v>
      </c>
      <c r="B12">
        <v>51069</v>
      </c>
    </row>
    <row r="13" spans="1:2" x14ac:dyDescent="0.3">
      <c r="A13" s="13" t="s">
        <v>21</v>
      </c>
      <c r="B13">
        <v>8438</v>
      </c>
    </row>
    <row r="14" spans="1:2" x14ac:dyDescent="0.3">
      <c r="A14" s="13" t="s">
        <v>23</v>
      </c>
      <c r="B14">
        <v>52564</v>
      </c>
    </row>
    <row r="15" spans="1:2" x14ac:dyDescent="0.3">
      <c r="A15" s="13" t="s">
        <v>26</v>
      </c>
      <c r="B15">
        <v>1036</v>
      </c>
    </row>
    <row r="16" spans="1:2" x14ac:dyDescent="0.3">
      <c r="A16" s="13" t="s">
        <v>27</v>
      </c>
      <c r="B16">
        <v>38520</v>
      </c>
    </row>
    <row r="17" spans="1:2" x14ac:dyDescent="0.3">
      <c r="A17" s="13" t="s">
        <v>30</v>
      </c>
      <c r="B17">
        <v>3025</v>
      </c>
    </row>
    <row r="18" spans="1:2" x14ac:dyDescent="0.3">
      <c r="A18" s="13" t="s">
        <v>24</v>
      </c>
      <c r="B18">
        <v>39969</v>
      </c>
    </row>
    <row r="19" spans="1:2" x14ac:dyDescent="0.3">
      <c r="A19" s="13" t="s">
        <v>19</v>
      </c>
      <c r="B19">
        <v>17696</v>
      </c>
    </row>
    <row r="20" spans="1:2" x14ac:dyDescent="0.3">
      <c r="A20" s="13" t="s">
        <v>692</v>
      </c>
      <c r="B20">
        <v>320939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6DC7B-2C78-498E-8E44-9470C8ECCFBC}">
  <dimension ref="A3:B6"/>
  <sheetViews>
    <sheetView workbookViewId="0">
      <selection activeCell="M20" sqref="M20"/>
    </sheetView>
  </sheetViews>
  <sheetFormatPr defaultRowHeight="14.4" x14ac:dyDescent="0.3"/>
  <cols>
    <col min="1" max="1" width="12.5546875" bestFit="1" customWidth="1"/>
    <col min="2" max="2" width="15.44140625" bestFit="1" customWidth="1"/>
  </cols>
  <sheetData>
    <row r="3" spans="1:2" x14ac:dyDescent="0.3">
      <c r="A3" s="12" t="s">
        <v>679</v>
      </c>
      <c r="B3" t="s">
        <v>693</v>
      </c>
    </row>
    <row r="4" spans="1:2" x14ac:dyDescent="0.3">
      <c r="A4" s="13" t="s">
        <v>675</v>
      </c>
      <c r="B4">
        <v>8</v>
      </c>
    </row>
    <row r="5" spans="1:2" x14ac:dyDescent="0.3">
      <c r="A5" s="13" t="s">
        <v>673</v>
      </c>
      <c r="B5">
        <v>282</v>
      </c>
    </row>
    <row r="6" spans="1:2" x14ac:dyDescent="0.3">
      <c r="A6" s="13" t="s">
        <v>674</v>
      </c>
      <c r="B6">
        <v>10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C5858-685E-43E3-AB0D-7AC4CAF414E3}">
  <dimension ref="A3:B12"/>
  <sheetViews>
    <sheetView workbookViewId="0">
      <selection activeCell="L25" sqref="L25"/>
    </sheetView>
  </sheetViews>
  <sheetFormatPr defaultRowHeight="14.4" x14ac:dyDescent="0.3"/>
  <cols>
    <col min="1" max="1" width="12.5546875" bestFit="1" customWidth="1"/>
    <col min="2" max="2" width="15.44140625" bestFit="1" customWidth="1"/>
    <col min="3" max="3" width="14.21875" bestFit="1" customWidth="1"/>
  </cols>
  <sheetData>
    <row r="3" spans="1:2" x14ac:dyDescent="0.3">
      <c r="A3" s="12" t="s">
        <v>679</v>
      </c>
      <c r="B3" t="s">
        <v>693</v>
      </c>
    </row>
    <row r="4" spans="1:2" x14ac:dyDescent="0.3">
      <c r="A4" s="13" t="s">
        <v>38</v>
      </c>
      <c r="B4">
        <v>55</v>
      </c>
    </row>
    <row r="5" spans="1:2" x14ac:dyDescent="0.3">
      <c r="A5" s="13" t="s">
        <v>39</v>
      </c>
      <c r="B5">
        <v>49</v>
      </c>
    </row>
    <row r="6" spans="1:2" x14ac:dyDescent="0.3">
      <c r="A6" s="13" t="s">
        <v>35</v>
      </c>
      <c r="B6">
        <v>39</v>
      </c>
    </row>
    <row r="7" spans="1:2" x14ac:dyDescent="0.3">
      <c r="A7" s="13" t="s">
        <v>36</v>
      </c>
      <c r="B7">
        <v>34</v>
      </c>
    </row>
    <row r="8" spans="1:2" x14ac:dyDescent="0.3">
      <c r="A8" s="13" t="s">
        <v>48</v>
      </c>
      <c r="B8">
        <v>30</v>
      </c>
    </row>
    <row r="9" spans="1:2" x14ac:dyDescent="0.3">
      <c r="A9" s="13" t="s">
        <v>37</v>
      </c>
      <c r="B9">
        <v>29</v>
      </c>
    </row>
    <row r="10" spans="1:2" x14ac:dyDescent="0.3">
      <c r="A10" s="13" t="s">
        <v>50</v>
      </c>
      <c r="B10">
        <v>28</v>
      </c>
    </row>
    <row r="11" spans="1:2" x14ac:dyDescent="0.3">
      <c r="A11" s="13" t="s">
        <v>34</v>
      </c>
      <c r="B11">
        <v>19</v>
      </c>
    </row>
    <row r="12" spans="1:2" x14ac:dyDescent="0.3">
      <c r="A12" s="13" t="s">
        <v>49</v>
      </c>
      <c r="B12">
        <v>17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6AB2-769C-4CAA-9B80-5F8BCB84369D}">
  <dimension ref="A3:B20"/>
  <sheetViews>
    <sheetView topLeftCell="A2" workbookViewId="0">
      <selection activeCell="S18" sqref="S18"/>
    </sheetView>
  </sheetViews>
  <sheetFormatPr defaultRowHeight="14.4" x14ac:dyDescent="0.3"/>
  <cols>
    <col min="1" max="1" width="12.5546875" bestFit="1" customWidth="1"/>
    <col min="2" max="2" width="14.6640625" bestFit="1" customWidth="1"/>
  </cols>
  <sheetData>
    <row r="3" spans="1:2" x14ac:dyDescent="0.3">
      <c r="A3" s="12" t="s">
        <v>679</v>
      </c>
      <c r="B3" t="s">
        <v>698</v>
      </c>
    </row>
    <row r="4" spans="1:2" x14ac:dyDescent="0.3">
      <c r="A4" s="13" t="s">
        <v>55</v>
      </c>
      <c r="B4">
        <v>22</v>
      </c>
    </row>
    <row r="5" spans="1:2" x14ac:dyDescent="0.3">
      <c r="A5" s="13" t="s">
        <v>68</v>
      </c>
      <c r="B5">
        <v>13</v>
      </c>
    </row>
    <row r="6" spans="1:2" x14ac:dyDescent="0.3">
      <c r="A6" s="13" t="s">
        <v>65</v>
      </c>
      <c r="B6">
        <v>20</v>
      </c>
    </row>
    <row r="7" spans="1:2" x14ac:dyDescent="0.3">
      <c r="A7" s="13" t="s">
        <v>67</v>
      </c>
      <c r="B7">
        <v>11</v>
      </c>
    </row>
    <row r="8" spans="1:2" x14ac:dyDescent="0.3">
      <c r="A8" s="13" t="s">
        <v>59</v>
      </c>
      <c r="B8">
        <v>41</v>
      </c>
    </row>
    <row r="9" spans="1:2" x14ac:dyDescent="0.3">
      <c r="A9" s="13" t="s">
        <v>60</v>
      </c>
      <c r="B9">
        <v>48</v>
      </c>
    </row>
    <row r="10" spans="1:2" x14ac:dyDescent="0.3">
      <c r="A10" s="13" t="s">
        <v>671</v>
      </c>
      <c r="B10">
        <v>10</v>
      </c>
    </row>
    <row r="11" spans="1:2" x14ac:dyDescent="0.3">
      <c r="A11" s="13" t="s">
        <v>66</v>
      </c>
      <c r="B11">
        <v>30</v>
      </c>
    </row>
    <row r="12" spans="1:2" x14ac:dyDescent="0.3">
      <c r="A12" s="13" t="s">
        <v>63</v>
      </c>
      <c r="B12">
        <v>5</v>
      </c>
    </row>
    <row r="13" spans="1:2" x14ac:dyDescent="0.3">
      <c r="A13" s="13" t="s">
        <v>57</v>
      </c>
      <c r="B13">
        <v>38</v>
      </c>
    </row>
    <row r="14" spans="1:2" x14ac:dyDescent="0.3">
      <c r="A14" s="13" t="s">
        <v>64</v>
      </c>
      <c r="B14">
        <v>24</v>
      </c>
    </row>
    <row r="15" spans="1:2" x14ac:dyDescent="0.3">
      <c r="A15" s="13" t="s">
        <v>58</v>
      </c>
      <c r="B15">
        <v>3</v>
      </c>
    </row>
    <row r="16" spans="1:2" x14ac:dyDescent="0.3">
      <c r="A16" s="13" t="s">
        <v>62</v>
      </c>
      <c r="B16">
        <v>21</v>
      </c>
    </row>
    <row r="17" spans="1:2" x14ac:dyDescent="0.3">
      <c r="A17" s="13" t="s">
        <v>56</v>
      </c>
      <c r="B17">
        <v>22</v>
      </c>
    </row>
    <row r="18" spans="1:2" x14ac:dyDescent="0.3">
      <c r="A18" s="13" t="s">
        <v>61</v>
      </c>
      <c r="B18">
        <v>25</v>
      </c>
    </row>
    <row r="19" spans="1:2" x14ac:dyDescent="0.3">
      <c r="A19" s="13" t="s">
        <v>54</v>
      </c>
      <c r="B19">
        <v>39</v>
      </c>
    </row>
    <row r="20" spans="1:2" x14ac:dyDescent="0.3">
      <c r="A20" s="13" t="s">
        <v>692</v>
      </c>
      <c r="B20">
        <v>372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0001B-D109-4354-86C1-8E03EDF066A5}">
  <sheetPr codeName="Sheet1"/>
  <dimension ref="A1:R301"/>
  <sheetViews>
    <sheetView topLeftCell="A2" workbookViewId="0">
      <selection activeCell="I9" sqref="I9"/>
    </sheetView>
  </sheetViews>
  <sheetFormatPr defaultRowHeight="14.4" x14ac:dyDescent="0.3"/>
  <cols>
    <col min="1" max="1" width="10" customWidth="1"/>
    <col min="2" max="2" width="14" customWidth="1"/>
    <col min="3" max="3" width="17.109375" customWidth="1"/>
    <col min="4" max="4" width="11.21875" customWidth="1"/>
    <col min="5" max="5" width="8.21875" customWidth="1"/>
    <col min="6" max="6" width="14" customWidth="1"/>
    <col min="7" max="7" width="11" customWidth="1"/>
    <col min="8" max="8" width="11.5546875" customWidth="1"/>
    <col min="9" max="9" width="11.33203125" customWidth="1"/>
    <col min="10" max="10" width="15.6640625" customWidth="1"/>
    <col min="11" max="11" width="12.5546875" bestFit="1" customWidth="1"/>
    <col min="12" max="12" width="12.88671875" customWidth="1"/>
    <col min="13" max="13" width="8.77734375" customWidth="1"/>
    <col min="14" max="14" width="14.21875" customWidth="1"/>
    <col min="15" max="15" width="13.33203125" customWidth="1"/>
    <col min="16" max="16" width="11.5546875" customWidth="1"/>
    <col min="17" max="17" width="15.5546875" customWidth="1"/>
    <col min="18" max="18" width="18.109375" customWidth="1"/>
  </cols>
  <sheetData>
    <row r="1" spans="1:18" x14ac:dyDescent="0.3">
      <c r="A1" s="6" t="s">
        <v>0</v>
      </c>
      <c r="B1" s="7" t="s">
        <v>1</v>
      </c>
      <c r="C1" s="7" t="s">
        <v>2</v>
      </c>
      <c r="D1" s="7" t="s">
        <v>3</v>
      </c>
      <c r="E1" s="7" t="s">
        <v>4</v>
      </c>
      <c r="F1" s="7" t="s">
        <v>13</v>
      </c>
      <c r="G1" s="7" t="s">
        <v>5</v>
      </c>
      <c r="H1" s="7" t="s">
        <v>12</v>
      </c>
      <c r="I1" s="7" t="s">
        <v>14</v>
      </c>
      <c r="J1" s="7" t="s">
        <v>370</v>
      </c>
      <c r="K1" s="7" t="s">
        <v>6</v>
      </c>
      <c r="L1" s="7" t="s">
        <v>53</v>
      </c>
      <c r="M1" s="7" t="s">
        <v>7</v>
      </c>
      <c r="N1" s="7" t="s">
        <v>8</v>
      </c>
      <c r="O1" s="7" t="s">
        <v>9</v>
      </c>
      <c r="P1" s="7" t="s">
        <v>10</v>
      </c>
      <c r="Q1" s="8" t="s">
        <v>11</v>
      </c>
      <c r="R1" s="7" t="s">
        <v>676</v>
      </c>
    </row>
    <row r="2" spans="1:18" x14ac:dyDescent="0.3">
      <c r="A2" s="4">
        <v>1</v>
      </c>
      <c r="B2" s="1" t="s">
        <v>70</v>
      </c>
      <c r="C2" s="1">
        <v>345678</v>
      </c>
      <c r="D2" s="1" t="s">
        <v>15</v>
      </c>
      <c r="E2" s="1">
        <v>22</v>
      </c>
      <c r="F2" s="1" t="str" cm="1">
        <f t="array" ref="F2">_xlfn.IFS(Table1[[#This Row],[age]]&gt;=50,"senior",Table1[[#This Row],[age]]&gt;20,"adult",Table1[[#This Row],[age]]&lt;=20,"teenager")</f>
        <v>adult</v>
      </c>
      <c r="G2" s="3">
        <v>45383</v>
      </c>
      <c r="H2" s="1" t="str">
        <f>TEXT(Table1[[#This Row],[date]],"mmm")</f>
        <v>Apr</v>
      </c>
      <c r="I2" s="1" t="s">
        <v>673</v>
      </c>
      <c r="J2" s="1" t="s">
        <v>371</v>
      </c>
      <c r="K2" s="1" t="s">
        <v>34</v>
      </c>
      <c r="L2" s="1" t="s">
        <v>54</v>
      </c>
      <c r="M2" s="1" t="s">
        <v>40</v>
      </c>
      <c r="N2" s="1">
        <v>1</v>
      </c>
      <c r="O2" s="1" t="s">
        <v>17</v>
      </c>
      <c r="P2" s="1">
        <v>345</v>
      </c>
      <c r="Q2" s="5" t="s">
        <v>18</v>
      </c>
      <c r="R2" s="11" t="s">
        <v>677</v>
      </c>
    </row>
    <row r="3" spans="1:18" x14ac:dyDescent="0.3">
      <c r="A3" s="4">
        <v>2</v>
      </c>
      <c r="B3" s="1" t="s">
        <v>71</v>
      </c>
      <c r="C3" s="1">
        <v>356789</v>
      </c>
      <c r="D3" s="1" t="s">
        <v>16</v>
      </c>
      <c r="E3" s="1">
        <v>20</v>
      </c>
      <c r="F3" s="1" t="str" cm="1">
        <f t="array" ref="F3">_xlfn.IFS(Table1[[#This Row],[age]]&gt;=50,"senior",Table1[[#This Row],[age]]&gt;20,"adult",Table1[[#This Row],[age]]&lt;=20,"teenager")</f>
        <v>teenager</v>
      </c>
      <c r="G3" s="3">
        <v>45385</v>
      </c>
      <c r="H3" s="1" t="str">
        <f>TEXT(Table1[[#This Row],[date]],"mmm")</f>
        <v>Apr</v>
      </c>
      <c r="I3" s="1" t="s">
        <v>673</v>
      </c>
      <c r="J3" s="1" t="s">
        <v>374</v>
      </c>
      <c r="K3" s="1" t="s">
        <v>35</v>
      </c>
      <c r="L3" s="1" t="s">
        <v>64</v>
      </c>
      <c r="M3" s="1" t="s">
        <v>41</v>
      </c>
      <c r="N3" s="1">
        <v>1</v>
      </c>
      <c r="O3" s="1" t="s">
        <v>17</v>
      </c>
      <c r="P3" s="1">
        <v>1230</v>
      </c>
      <c r="Q3" s="5" t="s">
        <v>19</v>
      </c>
      <c r="R3" s="11" t="s">
        <v>677</v>
      </c>
    </row>
    <row r="4" spans="1:18" x14ac:dyDescent="0.3">
      <c r="A4" s="4">
        <v>3</v>
      </c>
      <c r="B4" s="1" t="s">
        <v>72</v>
      </c>
      <c r="C4" s="1">
        <v>367900</v>
      </c>
      <c r="D4" s="1" t="s">
        <v>15</v>
      </c>
      <c r="E4" s="1">
        <v>33</v>
      </c>
      <c r="F4" s="1" t="str" cm="1">
        <f t="array" ref="F4">_xlfn.IFS(Table1[[#This Row],[age]]&gt;=50,"senior",Table1[[#This Row],[age]]&gt;20,"adult",Table1[[#This Row],[age]]&lt;=20,"teenager")</f>
        <v>adult</v>
      </c>
      <c r="G4" s="3">
        <v>45387</v>
      </c>
      <c r="H4" s="1" t="str">
        <f>TEXT(Table1[[#This Row],[date]],"mmm")</f>
        <v>Apr</v>
      </c>
      <c r="I4" s="1" t="s">
        <v>673</v>
      </c>
      <c r="J4" s="1" t="s">
        <v>375</v>
      </c>
      <c r="K4" s="1" t="s">
        <v>36</v>
      </c>
      <c r="L4" t="s">
        <v>54</v>
      </c>
      <c r="M4" s="1" t="s">
        <v>42</v>
      </c>
      <c r="N4" s="1">
        <v>1</v>
      </c>
      <c r="O4" s="1" t="s">
        <v>17</v>
      </c>
      <c r="P4" s="1">
        <v>500</v>
      </c>
      <c r="Q4" s="5" t="s">
        <v>20</v>
      </c>
      <c r="R4" s="11" t="s">
        <v>677</v>
      </c>
    </row>
    <row r="5" spans="1:18" x14ac:dyDescent="0.3">
      <c r="A5" s="4">
        <v>4</v>
      </c>
      <c r="B5" s="1" t="s">
        <v>73</v>
      </c>
      <c r="C5" s="1">
        <v>379011</v>
      </c>
      <c r="D5" s="1" t="s">
        <v>15</v>
      </c>
      <c r="E5" s="1">
        <v>37</v>
      </c>
      <c r="F5" s="1" t="str" cm="1">
        <f t="array" ref="F5">_xlfn.IFS(Table1[[#This Row],[age]]&gt;=50,"senior",Table1[[#This Row],[age]]&gt;20,"adult",Table1[[#This Row],[age]]&lt;=20,"teenager")</f>
        <v>adult</v>
      </c>
      <c r="G5" s="3">
        <v>45389</v>
      </c>
      <c r="H5" s="1" t="str">
        <f>TEXT(Table1[[#This Row],[date]],"mmm")</f>
        <v>Apr</v>
      </c>
      <c r="I5" s="1" t="s">
        <v>673</v>
      </c>
      <c r="J5" s="1" t="s">
        <v>376</v>
      </c>
      <c r="K5" s="1" t="s">
        <v>37</v>
      </c>
      <c r="L5" s="1" t="s">
        <v>54</v>
      </c>
      <c r="M5" s="1" t="s">
        <v>43</v>
      </c>
      <c r="N5" s="1">
        <v>1</v>
      </c>
      <c r="O5" s="1" t="s">
        <v>17</v>
      </c>
      <c r="P5" s="1">
        <v>550</v>
      </c>
      <c r="Q5" s="5" t="s">
        <v>18</v>
      </c>
      <c r="R5" s="11" t="s">
        <v>677</v>
      </c>
    </row>
    <row r="6" spans="1:18" x14ac:dyDescent="0.3">
      <c r="A6" s="4">
        <v>5</v>
      </c>
      <c r="B6" s="1" t="s">
        <v>74</v>
      </c>
      <c r="C6" s="1">
        <v>390122</v>
      </c>
      <c r="D6" s="1" t="s">
        <v>16</v>
      </c>
      <c r="E6" s="1">
        <v>19</v>
      </c>
      <c r="F6" s="1" t="str" cm="1">
        <f t="array" ref="F6">_xlfn.IFS(Table1[[#This Row],[age]]&gt;=50,"senior",Table1[[#This Row],[age]]&gt;20,"adult",Table1[[#This Row],[age]]&lt;=20,"teenager")</f>
        <v>teenager</v>
      </c>
      <c r="G6" s="3">
        <v>45391</v>
      </c>
      <c r="H6" s="1" t="str">
        <f>TEXT(Table1[[#This Row],[date]],"mmm")</f>
        <v>Apr</v>
      </c>
      <c r="I6" s="1" t="s">
        <v>673</v>
      </c>
      <c r="J6" s="1" t="s">
        <v>377</v>
      </c>
      <c r="K6" s="1" t="s">
        <v>35</v>
      </c>
      <c r="L6" t="s">
        <v>55</v>
      </c>
      <c r="M6" s="1" t="s">
        <v>44</v>
      </c>
      <c r="N6" s="1">
        <v>1</v>
      </c>
      <c r="O6" s="1" t="s">
        <v>17</v>
      </c>
      <c r="P6" s="1">
        <v>600</v>
      </c>
      <c r="Q6" s="5" t="s">
        <v>21</v>
      </c>
      <c r="R6" s="11" t="s">
        <v>677</v>
      </c>
    </row>
    <row r="7" spans="1:18" x14ac:dyDescent="0.3">
      <c r="A7" s="4">
        <v>6</v>
      </c>
      <c r="B7" s="1" t="s">
        <v>75</v>
      </c>
      <c r="C7" s="1">
        <v>401233</v>
      </c>
      <c r="D7" s="1" t="s">
        <v>16</v>
      </c>
      <c r="E7" s="1">
        <v>20</v>
      </c>
      <c r="F7" s="1" t="str" cm="1">
        <f t="array" ref="F7">_xlfn.IFS(Table1[[#This Row],[age]]&gt;=50,"senior",Table1[[#This Row],[age]]&gt;20,"adult",Table1[[#This Row],[age]]&lt;=20,"teenager")</f>
        <v>teenager</v>
      </c>
      <c r="G7" s="3">
        <v>45393</v>
      </c>
      <c r="H7" s="1" t="str">
        <f>TEXT(Table1[[#This Row],[date]],"mmm")</f>
        <v>Apr</v>
      </c>
      <c r="I7" s="1" t="s">
        <v>673</v>
      </c>
      <c r="J7" s="1" t="s">
        <v>378</v>
      </c>
      <c r="K7" s="1" t="s">
        <v>35</v>
      </c>
      <c r="L7" s="1" t="s">
        <v>64</v>
      </c>
      <c r="M7" s="1" t="s">
        <v>44</v>
      </c>
      <c r="N7" s="1">
        <v>1</v>
      </c>
      <c r="O7" s="1" t="s">
        <v>17</v>
      </c>
      <c r="P7" s="1">
        <v>650</v>
      </c>
      <c r="Q7" s="5" t="s">
        <v>22</v>
      </c>
      <c r="R7" s="11" t="s">
        <v>677</v>
      </c>
    </row>
    <row r="8" spans="1:18" x14ac:dyDescent="0.3">
      <c r="A8" s="4">
        <v>7</v>
      </c>
      <c r="B8" s="1" t="s">
        <v>76</v>
      </c>
      <c r="C8" s="1">
        <v>412344</v>
      </c>
      <c r="D8" s="1" t="s">
        <v>16</v>
      </c>
      <c r="E8" s="1">
        <v>20</v>
      </c>
      <c r="F8" s="1" t="str" cm="1">
        <f t="array" ref="F8">_xlfn.IFS(Table1[[#This Row],[age]]&gt;=50,"senior",Table1[[#This Row],[age]]&gt;20,"adult",Table1[[#This Row],[age]]&lt;=20,"teenager")</f>
        <v>teenager</v>
      </c>
      <c r="G8" s="3">
        <v>45394</v>
      </c>
      <c r="H8" s="1" t="str">
        <f>TEXT(Table1[[#This Row],[date]],"mmm")</f>
        <v>Apr</v>
      </c>
      <c r="I8" s="1" t="s">
        <v>673</v>
      </c>
      <c r="J8" s="1" t="s">
        <v>379</v>
      </c>
      <c r="K8" s="1" t="s">
        <v>36</v>
      </c>
      <c r="L8" s="1" t="s">
        <v>55</v>
      </c>
      <c r="M8" s="1" t="s">
        <v>43</v>
      </c>
      <c r="N8" s="1">
        <v>1</v>
      </c>
      <c r="O8" s="1" t="s">
        <v>17</v>
      </c>
      <c r="P8" s="1">
        <v>700</v>
      </c>
      <c r="Q8" s="5" t="s">
        <v>23</v>
      </c>
      <c r="R8" s="11" t="s">
        <v>677</v>
      </c>
    </row>
    <row r="9" spans="1:18" x14ac:dyDescent="0.3">
      <c r="A9" s="4">
        <v>8</v>
      </c>
      <c r="B9" s="1" t="s">
        <v>77</v>
      </c>
      <c r="C9" s="1">
        <v>423455</v>
      </c>
      <c r="D9" s="1" t="s">
        <v>16</v>
      </c>
      <c r="E9" s="1">
        <v>21</v>
      </c>
      <c r="F9" s="1" t="str" cm="1">
        <f t="array" ref="F9">_xlfn.IFS(Table1[[#This Row],[age]]&gt;=50,"senior",Table1[[#This Row],[age]]&gt;20,"adult",Table1[[#This Row],[age]]&lt;=20,"teenager")</f>
        <v>adult</v>
      </c>
      <c r="G9" s="3">
        <v>45395</v>
      </c>
      <c r="H9" s="1" t="str">
        <f>TEXT(Table1[[#This Row],[date]],"mmm")</f>
        <v>Apr</v>
      </c>
      <c r="I9" s="1" t="s">
        <v>673</v>
      </c>
      <c r="J9" s="1" t="s">
        <v>380</v>
      </c>
      <c r="K9" s="1" t="s">
        <v>34</v>
      </c>
      <c r="L9" s="1" t="s">
        <v>63</v>
      </c>
      <c r="M9" s="1" t="s">
        <v>41</v>
      </c>
      <c r="N9" s="1">
        <v>1</v>
      </c>
      <c r="O9" s="1" t="s">
        <v>17</v>
      </c>
      <c r="P9" s="1">
        <v>750</v>
      </c>
      <c r="Q9" s="5" t="s">
        <v>23</v>
      </c>
      <c r="R9" s="11" t="s">
        <v>677</v>
      </c>
    </row>
    <row r="10" spans="1:18" x14ac:dyDescent="0.3">
      <c r="A10" s="4">
        <v>9</v>
      </c>
      <c r="B10" s="1" t="s">
        <v>78</v>
      </c>
      <c r="C10" s="1">
        <v>434566</v>
      </c>
      <c r="D10" s="1" t="s">
        <v>16</v>
      </c>
      <c r="E10" s="1">
        <v>22</v>
      </c>
      <c r="F10" s="1" t="str" cm="1">
        <f t="array" ref="F10">_xlfn.IFS(Table1[[#This Row],[age]]&gt;=50,"senior",Table1[[#This Row],[age]]&gt;20,"adult",Table1[[#This Row],[age]]&lt;=20,"teenager")</f>
        <v>adult</v>
      </c>
      <c r="G10" s="3">
        <v>45396</v>
      </c>
      <c r="H10" s="1" t="str">
        <f>TEXT(Table1[[#This Row],[date]],"mmm")</f>
        <v>Apr</v>
      </c>
      <c r="I10" s="1" t="s">
        <v>673</v>
      </c>
      <c r="J10" s="1" t="s">
        <v>381</v>
      </c>
      <c r="K10" s="1" t="s">
        <v>38</v>
      </c>
      <c r="L10" s="1" t="s">
        <v>63</v>
      </c>
      <c r="M10" s="1" t="s">
        <v>40</v>
      </c>
      <c r="N10" s="1">
        <v>1</v>
      </c>
      <c r="O10" s="1" t="s">
        <v>17</v>
      </c>
      <c r="P10" s="1">
        <v>800</v>
      </c>
      <c r="Q10" s="5" t="s">
        <v>24</v>
      </c>
      <c r="R10" s="11" t="s">
        <v>677</v>
      </c>
    </row>
    <row r="11" spans="1:18" x14ac:dyDescent="0.3">
      <c r="A11" s="4">
        <v>10</v>
      </c>
      <c r="B11" s="1" t="s">
        <v>79</v>
      </c>
      <c r="C11" s="1">
        <v>445677</v>
      </c>
      <c r="D11" s="1" t="s">
        <v>16</v>
      </c>
      <c r="E11" s="1">
        <v>23</v>
      </c>
      <c r="F11" s="1" t="str" cm="1">
        <f t="array" ref="F11">_xlfn.IFS(Table1[[#This Row],[age]]&gt;=50,"senior",Table1[[#This Row],[age]]&gt;20,"adult",Table1[[#This Row],[age]]&lt;=20,"teenager")</f>
        <v>adult</v>
      </c>
      <c r="G11" s="3">
        <v>45397</v>
      </c>
      <c r="H11" s="1" t="str">
        <f>TEXT(Table1[[#This Row],[date]],"mmm")</f>
        <v>Apr</v>
      </c>
      <c r="I11" s="1" t="s">
        <v>673</v>
      </c>
      <c r="J11" s="1" t="s">
        <v>382</v>
      </c>
      <c r="K11" s="1" t="s">
        <v>39</v>
      </c>
      <c r="L11" s="1" t="s">
        <v>56</v>
      </c>
      <c r="M11" s="1" t="s">
        <v>40</v>
      </c>
      <c r="N11" s="1">
        <v>1</v>
      </c>
      <c r="O11" s="1" t="s">
        <v>17</v>
      </c>
      <c r="P11" s="1">
        <v>1000</v>
      </c>
      <c r="Q11" s="5" t="s">
        <v>18</v>
      </c>
      <c r="R11" s="11" t="s">
        <v>677</v>
      </c>
    </row>
    <row r="12" spans="1:18" x14ac:dyDescent="0.3">
      <c r="A12" s="4">
        <v>11</v>
      </c>
      <c r="B12" s="1" t="s">
        <v>80</v>
      </c>
      <c r="C12" s="1">
        <v>456788</v>
      </c>
      <c r="D12" s="1" t="s">
        <v>16</v>
      </c>
      <c r="E12" s="1">
        <v>24</v>
      </c>
      <c r="F12" s="1" t="str" cm="1">
        <f t="array" ref="F12">_xlfn.IFS(Table1[[#This Row],[age]]&gt;=50,"senior",Table1[[#This Row],[age]]&gt;20,"adult",Table1[[#This Row],[age]]&lt;=20,"teenager")</f>
        <v>adult</v>
      </c>
      <c r="G12" s="3">
        <v>45398</v>
      </c>
      <c r="H12" s="1" t="str">
        <f>TEXT(Table1[[#This Row],[date]],"mmm")</f>
        <v>Apr</v>
      </c>
      <c r="I12" s="1" t="s">
        <v>673</v>
      </c>
      <c r="J12" s="1" t="s">
        <v>383</v>
      </c>
      <c r="K12" s="1" t="s">
        <v>39</v>
      </c>
      <c r="L12" s="1" t="s">
        <v>56</v>
      </c>
      <c r="M12" s="1" t="s">
        <v>40</v>
      </c>
      <c r="N12" s="1">
        <v>1</v>
      </c>
      <c r="O12" s="1" t="s">
        <v>17</v>
      </c>
      <c r="P12" s="1">
        <v>1012</v>
      </c>
      <c r="Q12" s="5" t="s">
        <v>25</v>
      </c>
      <c r="R12" s="11" t="s">
        <v>677</v>
      </c>
    </row>
    <row r="13" spans="1:18" x14ac:dyDescent="0.3">
      <c r="A13" s="4">
        <v>12</v>
      </c>
      <c r="B13" s="1" t="s">
        <v>81</v>
      </c>
      <c r="C13" s="1">
        <v>467899</v>
      </c>
      <c r="D13" s="1" t="s">
        <v>16</v>
      </c>
      <c r="E13" s="1">
        <v>30</v>
      </c>
      <c r="F13" s="1" t="str" cm="1">
        <f t="array" ref="F13">_xlfn.IFS(Table1[[#This Row],[age]]&gt;=50,"senior",Table1[[#This Row],[age]]&gt;20,"adult",Table1[[#This Row],[age]]&lt;=20,"teenager")</f>
        <v>adult</v>
      </c>
      <c r="G13" s="3">
        <v>45399</v>
      </c>
      <c r="H13" s="1" t="str">
        <f>TEXT(Table1[[#This Row],[date]],"mmm")</f>
        <v>Apr</v>
      </c>
      <c r="I13" s="1" t="s">
        <v>673</v>
      </c>
      <c r="J13" s="1" t="s">
        <v>384</v>
      </c>
      <c r="K13" s="1" t="s">
        <v>38</v>
      </c>
      <c r="L13" s="1" t="s">
        <v>56</v>
      </c>
      <c r="M13" s="1" t="s">
        <v>45</v>
      </c>
      <c r="N13" s="1">
        <v>1</v>
      </c>
      <c r="O13" s="1" t="s">
        <v>17</v>
      </c>
      <c r="P13" s="1">
        <v>1024</v>
      </c>
      <c r="Q13" s="5" t="s">
        <v>25</v>
      </c>
      <c r="R13" s="11" t="s">
        <v>677</v>
      </c>
    </row>
    <row r="14" spans="1:18" x14ac:dyDescent="0.3">
      <c r="A14" s="4">
        <v>13</v>
      </c>
      <c r="B14" s="1" t="s">
        <v>82</v>
      </c>
      <c r="C14" s="1">
        <v>479010</v>
      </c>
      <c r="D14" s="1" t="s">
        <v>16</v>
      </c>
      <c r="E14" s="1">
        <v>32</v>
      </c>
      <c r="F14" s="1" t="str" cm="1">
        <f t="array" ref="F14">_xlfn.IFS(Table1[[#This Row],[age]]&gt;=50,"senior",Table1[[#This Row],[age]]&gt;20,"adult",Table1[[#This Row],[age]]&lt;=20,"teenager")</f>
        <v>adult</v>
      </c>
      <c r="G14" s="3">
        <v>45400</v>
      </c>
      <c r="H14" s="1" t="str">
        <f>TEXT(Table1[[#This Row],[date]],"mmm")</f>
        <v>Apr</v>
      </c>
      <c r="I14" s="1" t="s">
        <v>673</v>
      </c>
      <c r="J14" s="1" t="s">
        <v>385</v>
      </c>
      <c r="K14" s="1" t="s">
        <v>35</v>
      </c>
      <c r="L14" s="1" t="s">
        <v>65</v>
      </c>
      <c r="M14" s="1" t="s">
        <v>43</v>
      </c>
      <c r="N14" s="1">
        <v>1</v>
      </c>
      <c r="O14" s="1" t="s">
        <v>17</v>
      </c>
      <c r="P14" s="1">
        <v>1036</v>
      </c>
      <c r="Q14" s="5" t="s">
        <v>26</v>
      </c>
      <c r="R14" s="11" t="s">
        <v>677</v>
      </c>
    </row>
    <row r="15" spans="1:18" x14ac:dyDescent="0.3">
      <c r="A15" s="4">
        <v>14</v>
      </c>
      <c r="B15" s="1" t="s">
        <v>83</v>
      </c>
      <c r="C15" s="1">
        <v>490121</v>
      </c>
      <c r="D15" s="1" t="s">
        <v>16</v>
      </c>
      <c r="E15" s="1">
        <v>34</v>
      </c>
      <c r="F15" s="1" t="str" cm="1">
        <f t="array" ref="F15">_xlfn.IFS(Table1[[#This Row],[age]]&gt;=50,"senior",Table1[[#This Row],[age]]&gt;20,"adult",Table1[[#This Row],[age]]&lt;=20,"teenager")</f>
        <v>adult</v>
      </c>
      <c r="G15" s="3">
        <v>45401</v>
      </c>
      <c r="H15" s="1" t="str">
        <f>TEXT(Table1[[#This Row],[date]],"mmm")</f>
        <v>Apr</v>
      </c>
      <c r="I15" s="1" t="s">
        <v>673</v>
      </c>
      <c r="J15" s="1" t="s">
        <v>386</v>
      </c>
      <c r="K15" s="1" t="s">
        <v>48</v>
      </c>
      <c r="L15" s="1" t="s">
        <v>65</v>
      </c>
      <c r="M15" s="1" t="s">
        <v>43</v>
      </c>
      <c r="N15" s="1">
        <v>1</v>
      </c>
      <c r="O15" s="1" t="s">
        <v>17</v>
      </c>
      <c r="P15" s="1">
        <v>1048</v>
      </c>
      <c r="Q15" s="5" t="s">
        <v>27</v>
      </c>
      <c r="R15" s="11" t="s">
        <v>677</v>
      </c>
    </row>
    <row r="16" spans="1:18" x14ac:dyDescent="0.3">
      <c r="A16" s="4">
        <v>15</v>
      </c>
      <c r="B16" s="1" t="s">
        <v>84</v>
      </c>
      <c r="C16" s="1">
        <v>501232</v>
      </c>
      <c r="D16" s="1" t="s">
        <v>16</v>
      </c>
      <c r="E16" s="1">
        <v>36</v>
      </c>
      <c r="F16" s="1" t="str" cm="1">
        <f t="array" ref="F16">_xlfn.IFS(Table1[[#This Row],[age]]&gt;=50,"senior",Table1[[#This Row],[age]]&gt;20,"adult",Table1[[#This Row],[age]]&lt;=20,"teenager")</f>
        <v>adult</v>
      </c>
      <c r="G16" s="3">
        <v>45402</v>
      </c>
      <c r="H16" s="1" t="str">
        <f>TEXT(Table1[[#This Row],[date]],"mmm")</f>
        <v>Apr</v>
      </c>
      <c r="I16" s="1" t="s">
        <v>673</v>
      </c>
      <c r="J16" s="1" t="s">
        <v>387</v>
      </c>
      <c r="K16" s="1" t="s">
        <v>48</v>
      </c>
      <c r="L16" s="1" t="s">
        <v>65</v>
      </c>
      <c r="M16" s="1" t="s">
        <v>43</v>
      </c>
      <c r="N16" s="1">
        <v>1</v>
      </c>
      <c r="O16" s="1" t="s">
        <v>17</v>
      </c>
      <c r="P16" s="1">
        <v>400</v>
      </c>
      <c r="Q16" s="5" t="s">
        <v>19</v>
      </c>
      <c r="R16" s="11" t="s">
        <v>677</v>
      </c>
    </row>
    <row r="17" spans="1:18" x14ac:dyDescent="0.3">
      <c r="A17" s="4">
        <v>16</v>
      </c>
      <c r="B17" s="1" t="s">
        <v>85</v>
      </c>
      <c r="C17" s="1">
        <v>512343</v>
      </c>
      <c r="D17" s="1" t="s">
        <v>16</v>
      </c>
      <c r="E17" s="1">
        <v>38</v>
      </c>
      <c r="F17" s="1" t="str" cm="1">
        <f t="array" ref="F17">_xlfn.IFS(Table1[[#This Row],[age]]&gt;=50,"senior",Table1[[#This Row],[age]]&gt;20,"adult",Table1[[#This Row],[age]]&lt;=20,"teenager")</f>
        <v>adult</v>
      </c>
      <c r="G17" s="3">
        <v>45404</v>
      </c>
      <c r="H17" s="1" t="str">
        <f>TEXT(Table1[[#This Row],[date]],"mmm")</f>
        <v>Apr</v>
      </c>
      <c r="I17" s="1" t="s">
        <v>673</v>
      </c>
      <c r="J17" s="1" t="s">
        <v>388</v>
      </c>
      <c r="K17" s="1" t="s">
        <v>48</v>
      </c>
      <c r="L17" s="1" t="s">
        <v>65</v>
      </c>
      <c r="M17" s="1" t="s">
        <v>43</v>
      </c>
      <c r="N17" s="1">
        <v>1</v>
      </c>
      <c r="O17" s="1" t="s">
        <v>17</v>
      </c>
      <c r="P17" s="1">
        <v>440</v>
      </c>
      <c r="Q17" s="5" t="s">
        <v>20</v>
      </c>
      <c r="R17" s="11" t="s">
        <v>677</v>
      </c>
    </row>
    <row r="18" spans="1:18" x14ac:dyDescent="0.3">
      <c r="A18" s="4">
        <v>17</v>
      </c>
      <c r="B18" s="1" t="s">
        <v>86</v>
      </c>
      <c r="C18" s="1">
        <v>523454</v>
      </c>
      <c r="D18" s="1" t="s">
        <v>16</v>
      </c>
      <c r="E18" s="1">
        <v>40</v>
      </c>
      <c r="F18" s="1" t="str" cm="1">
        <f t="array" ref="F18">_xlfn.IFS(Table1[[#This Row],[age]]&gt;=50,"senior",Table1[[#This Row],[age]]&gt;20,"adult",Table1[[#This Row],[age]]&lt;=20,"teenager")</f>
        <v>adult</v>
      </c>
      <c r="G18" s="3">
        <v>45405</v>
      </c>
      <c r="H18" s="1" t="str">
        <f>TEXT(Table1[[#This Row],[date]],"mmm")</f>
        <v>Apr</v>
      </c>
      <c r="I18" s="1" t="s">
        <v>673</v>
      </c>
      <c r="J18" s="1" t="s">
        <v>389</v>
      </c>
      <c r="K18" s="1" t="s">
        <v>38</v>
      </c>
      <c r="L18" s="1" t="s">
        <v>63</v>
      </c>
      <c r="M18" s="1" t="s">
        <v>41</v>
      </c>
      <c r="N18" s="1">
        <v>1</v>
      </c>
      <c r="O18" s="1" t="s">
        <v>17</v>
      </c>
      <c r="P18" s="1">
        <v>480</v>
      </c>
      <c r="Q18" s="5" t="s">
        <v>27</v>
      </c>
      <c r="R18" s="11" t="s">
        <v>677</v>
      </c>
    </row>
    <row r="19" spans="1:18" x14ac:dyDescent="0.3">
      <c r="A19" s="4">
        <v>18</v>
      </c>
      <c r="B19" s="1" t="s">
        <v>87</v>
      </c>
      <c r="C19" s="1">
        <v>534565</v>
      </c>
      <c r="D19" s="1" t="s">
        <v>16</v>
      </c>
      <c r="E19" s="1">
        <v>41</v>
      </c>
      <c r="F19" s="1" t="str" cm="1">
        <f t="array" ref="F19">_xlfn.IFS(Table1[[#This Row],[age]]&gt;=50,"senior",Table1[[#This Row],[age]]&gt;20,"adult",Table1[[#This Row],[age]]&lt;=20,"teenager")</f>
        <v>adult</v>
      </c>
      <c r="G19" s="3">
        <v>45406</v>
      </c>
      <c r="H19" s="1" t="str">
        <f>TEXT(Table1[[#This Row],[date]],"mmm")</f>
        <v>Apr</v>
      </c>
      <c r="I19" s="1" t="s">
        <v>673</v>
      </c>
      <c r="J19" s="1" t="s">
        <v>390</v>
      </c>
      <c r="K19" s="1" t="s">
        <v>35</v>
      </c>
      <c r="L19" s="1" t="s">
        <v>63</v>
      </c>
      <c r="M19" s="1" t="s">
        <v>41</v>
      </c>
      <c r="N19" s="1">
        <v>1</v>
      </c>
      <c r="O19" s="1" t="s">
        <v>17</v>
      </c>
      <c r="P19" s="1">
        <v>520</v>
      </c>
      <c r="Q19" s="5" t="s">
        <v>23</v>
      </c>
      <c r="R19" s="11" t="s">
        <v>677</v>
      </c>
    </row>
    <row r="20" spans="1:18" x14ac:dyDescent="0.3">
      <c r="A20" s="4">
        <v>19</v>
      </c>
      <c r="B20" s="1" t="s">
        <v>88</v>
      </c>
      <c r="C20" s="1">
        <v>545676</v>
      </c>
      <c r="D20" s="1" t="s">
        <v>16</v>
      </c>
      <c r="E20" s="1">
        <v>42</v>
      </c>
      <c r="F20" s="1" t="str" cm="1">
        <f t="array" ref="F20">_xlfn.IFS(Table1[[#This Row],[age]]&gt;=50,"senior",Table1[[#This Row],[age]]&gt;20,"adult",Table1[[#This Row],[age]]&lt;=20,"teenager")</f>
        <v>adult</v>
      </c>
      <c r="G20" s="3">
        <v>45407</v>
      </c>
      <c r="H20" s="1" t="str">
        <f>TEXT(Table1[[#This Row],[date]],"mmm")</f>
        <v>Apr</v>
      </c>
      <c r="I20" s="1" t="s">
        <v>673</v>
      </c>
      <c r="J20" s="1" t="s">
        <v>372</v>
      </c>
      <c r="K20" s="1" t="s">
        <v>36</v>
      </c>
      <c r="L20" s="1" t="s">
        <v>63</v>
      </c>
      <c r="M20" s="1" t="s">
        <v>41</v>
      </c>
      <c r="N20" s="1">
        <v>1</v>
      </c>
      <c r="O20" s="1" t="s">
        <v>17</v>
      </c>
      <c r="P20" s="1">
        <v>560</v>
      </c>
      <c r="Q20" s="5" t="s">
        <v>28</v>
      </c>
      <c r="R20" s="11" t="s">
        <v>677</v>
      </c>
    </row>
    <row r="21" spans="1:18" x14ac:dyDescent="0.3">
      <c r="A21" s="4">
        <v>20</v>
      </c>
      <c r="B21" s="1" t="s">
        <v>89</v>
      </c>
      <c r="C21" s="1">
        <v>556787</v>
      </c>
      <c r="D21" s="1" t="s">
        <v>16</v>
      </c>
      <c r="E21" s="1">
        <v>43</v>
      </c>
      <c r="F21" s="1" t="str" cm="1">
        <f t="array" ref="F21">_xlfn.IFS(Table1[[#This Row],[age]]&gt;=50,"senior",Table1[[#This Row],[age]]&gt;20,"adult",Table1[[#This Row],[age]]&lt;=20,"teenager")</f>
        <v>adult</v>
      </c>
      <c r="G21" s="3">
        <v>45409</v>
      </c>
      <c r="H21" s="1" t="str">
        <f>TEXT(Table1[[#This Row],[date]],"mmm")</f>
        <v>Apr</v>
      </c>
      <c r="I21" s="1" t="s">
        <v>673</v>
      </c>
      <c r="J21" s="1" t="s">
        <v>391</v>
      </c>
      <c r="K21" s="1" t="s">
        <v>39</v>
      </c>
      <c r="L21" s="1" t="s">
        <v>66</v>
      </c>
      <c r="M21" s="1" t="s">
        <v>41</v>
      </c>
      <c r="N21" s="1">
        <v>1</v>
      </c>
      <c r="O21" s="1" t="s">
        <v>17</v>
      </c>
      <c r="P21" s="1">
        <v>600</v>
      </c>
      <c r="Q21" s="5" t="s">
        <v>28</v>
      </c>
      <c r="R21" s="11" t="s">
        <v>677</v>
      </c>
    </row>
    <row r="22" spans="1:18" x14ac:dyDescent="0.3">
      <c r="A22" s="4">
        <v>21</v>
      </c>
      <c r="B22" s="1" t="s">
        <v>90</v>
      </c>
      <c r="C22" s="1">
        <v>567898</v>
      </c>
      <c r="D22" s="1" t="s">
        <v>16</v>
      </c>
      <c r="E22" s="1">
        <v>44</v>
      </c>
      <c r="F22" s="1" t="str" cm="1">
        <f t="array" ref="F22">_xlfn.IFS(Table1[[#This Row],[age]]&gt;=50,"senior",Table1[[#This Row],[age]]&gt;20,"adult",Table1[[#This Row],[age]]&lt;=20,"teenager")</f>
        <v>adult</v>
      </c>
      <c r="G22" s="3">
        <v>45410</v>
      </c>
      <c r="H22" s="1" t="str">
        <f>TEXT(Table1[[#This Row],[date]],"mmm")</f>
        <v>Apr</v>
      </c>
      <c r="I22" s="1" t="s">
        <v>673</v>
      </c>
      <c r="J22" s="1" t="s">
        <v>392</v>
      </c>
      <c r="K22" s="1" t="s">
        <v>39</v>
      </c>
      <c r="L22" s="1" t="s">
        <v>66</v>
      </c>
      <c r="M22" s="1" t="s">
        <v>41</v>
      </c>
      <c r="N22" s="1">
        <v>1</v>
      </c>
      <c r="O22" s="1" t="s">
        <v>17</v>
      </c>
      <c r="P22" s="1">
        <v>640</v>
      </c>
      <c r="Q22" s="5" t="s">
        <v>23</v>
      </c>
      <c r="R22" s="11" t="s">
        <v>677</v>
      </c>
    </row>
    <row r="23" spans="1:18" x14ac:dyDescent="0.3">
      <c r="A23" s="4">
        <v>22</v>
      </c>
      <c r="B23" s="1" t="s">
        <v>91</v>
      </c>
      <c r="C23" s="1">
        <v>579009</v>
      </c>
      <c r="D23" s="1" t="s">
        <v>16</v>
      </c>
      <c r="E23" s="1">
        <v>22</v>
      </c>
      <c r="F23" s="1" t="str" cm="1">
        <f t="array" ref="F23">_xlfn.IFS(Table1[[#This Row],[age]]&gt;=50,"senior",Table1[[#This Row],[age]]&gt;20,"adult",Table1[[#This Row],[age]]&lt;=20,"teenager")</f>
        <v>adult</v>
      </c>
      <c r="G23" s="3">
        <v>45411</v>
      </c>
      <c r="H23" s="1" t="str">
        <f>TEXT(Table1[[#This Row],[date]],"mmm")</f>
        <v>Apr</v>
      </c>
      <c r="I23" s="1" t="s">
        <v>673</v>
      </c>
      <c r="J23" s="1" t="s">
        <v>393</v>
      </c>
      <c r="K23" s="1" t="s">
        <v>38</v>
      </c>
      <c r="L23" s="1" t="s">
        <v>66</v>
      </c>
      <c r="M23" s="1" t="s">
        <v>41</v>
      </c>
      <c r="N23" s="1">
        <v>1</v>
      </c>
      <c r="O23" s="1" t="s">
        <v>17</v>
      </c>
      <c r="P23" s="1">
        <v>680</v>
      </c>
      <c r="Q23" s="5" t="s">
        <v>23</v>
      </c>
      <c r="R23" s="11" t="s">
        <v>677</v>
      </c>
    </row>
    <row r="24" spans="1:18" x14ac:dyDescent="0.3">
      <c r="A24" s="4">
        <v>23</v>
      </c>
      <c r="B24" s="1" t="s">
        <v>92</v>
      </c>
      <c r="C24" s="1">
        <v>590120</v>
      </c>
      <c r="D24" s="1" t="s">
        <v>16</v>
      </c>
      <c r="E24" s="1">
        <v>23</v>
      </c>
      <c r="F24" s="1" t="str" cm="1">
        <f t="array" ref="F24">_xlfn.IFS(Table1[[#This Row],[age]]&gt;=50,"senior",Table1[[#This Row],[age]]&gt;20,"adult",Table1[[#This Row],[age]]&lt;=20,"teenager")</f>
        <v>adult</v>
      </c>
      <c r="G24" s="3">
        <v>45412</v>
      </c>
      <c r="H24" s="1" t="str">
        <f>TEXT(Table1[[#This Row],[date]],"mmm")</f>
        <v>Apr</v>
      </c>
      <c r="I24" s="1" t="s">
        <v>673</v>
      </c>
      <c r="J24" s="1" t="s">
        <v>394</v>
      </c>
      <c r="K24" s="1" t="s">
        <v>35</v>
      </c>
      <c r="L24" s="1" t="s">
        <v>66</v>
      </c>
      <c r="M24" s="1" t="s">
        <v>41</v>
      </c>
      <c r="N24" s="1">
        <v>1</v>
      </c>
      <c r="O24" s="1" t="s">
        <v>17</v>
      </c>
      <c r="P24" s="1">
        <v>720</v>
      </c>
      <c r="Q24" s="5" t="s">
        <v>18</v>
      </c>
      <c r="R24" s="11" t="s">
        <v>677</v>
      </c>
    </row>
    <row r="25" spans="1:18" x14ac:dyDescent="0.3">
      <c r="A25" s="4">
        <v>24</v>
      </c>
      <c r="B25" s="1" t="s">
        <v>93</v>
      </c>
      <c r="C25" s="1">
        <v>601231</v>
      </c>
      <c r="D25" s="1" t="s">
        <v>16</v>
      </c>
      <c r="E25" s="1">
        <v>24</v>
      </c>
      <c r="F25" s="1" t="str" cm="1">
        <f t="array" ref="F25">_xlfn.IFS(Table1[[#This Row],[age]]&gt;=50,"senior",Table1[[#This Row],[age]]&gt;20,"adult",Table1[[#This Row],[age]]&lt;=20,"teenager")</f>
        <v>adult</v>
      </c>
      <c r="G25" s="3">
        <v>45413</v>
      </c>
      <c r="H25" s="1" t="str">
        <f>TEXT(Table1[[#This Row],[date]],"mmm")</f>
        <v>May</v>
      </c>
      <c r="I25" s="1" t="s">
        <v>673</v>
      </c>
      <c r="J25" s="1" t="s">
        <v>395</v>
      </c>
      <c r="K25" s="1" t="s">
        <v>35</v>
      </c>
      <c r="L25" s="1" t="s">
        <v>66</v>
      </c>
      <c r="M25" s="1" t="s">
        <v>41</v>
      </c>
      <c r="N25" s="1">
        <v>1</v>
      </c>
      <c r="O25" s="1" t="s">
        <v>17</v>
      </c>
      <c r="P25" s="1">
        <v>1300</v>
      </c>
      <c r="Q25" s="5" t="s">
        <v>18</v>
      </c>
      <c r="R25" s="11" t="s">
        <v>677</v>
      </c>
    </row>
    <row r="26" spans="1:18" x14ac:dyDescent="0.3">
      <c r="A26" s="4">
        <v>25</v>
      </c>
      <c r="B26" s="1" t="s">
        <v>94</v>
      </c>
      <c r="C26" s="1">
        <v>612342</v>
      </c>
      <c r="D26" s="1" t="s">
        <v>15</v>
      </c>
      <c r="E26" s="1">
        <v>25</v>
      </c>
      <c r="F26" s="1" t="str" cm="1">
        <f t="array" ref="F26">_xlfn.IFS(Table1[[#This Row],[age]]&gt;=50,"senior",Table1[[#This Row],[age]]&gt;20,"adult",Table1[[#This Row],[age]]&lt;=20,"teenager")</f>
        <v>adult</v>
      </c>
      <c r="G26" s="3">
        <v>45414</v>
      </c>
      <c r="H26" s="1" t="str">
        <f>TEXT(Table1[[#This Row],[date]],"mmm")</f>
        <v>May</v>
      </c>
      <c r="I26" s="1" t="s">
        <v>673</v>
      </c>
      <c r="J26" s="1" t="s">
        <v>396</v>
      </c>
      <c r="K26" s="1" t="s">
        <v>35</v>
      </c>
      <c r="L26" s="1" t="s">
        <v>57</v>
      </c>
      <c r="M26" s="1" t="s">
        <v>45</v>
      </c>
      <c r="N26" s="1">
        <v>1</v>
      </c>
      <c r="O26" s="1" t="s">
        <v>17</v>
      </c>
      <c r="P26" s="1">
        <v>1245</v>
      </c>
      <c r="Q26" s="5" t="s">
        <v>24</v>
      </c>
      <c r="R26" s="11" t="s">
        <v>677</v>
      </c>
    </row>
    <row r="27" spans="1:18" x14ac:dyDescent="0.3">
      <c r="A27" s="4">
        <v>26</v>
      </c>
      <c r="B27" s="1" t="s">
        <v>95</v>
      </c>
      <c r="C27" s="1">
        <v>623453</v>
      </c>
      <c r="D27" s="1" t="s">
        <v>15</v>
      </c>
      <c r="E27" s="1">
        <v>26</v>
      </c>
      <c r="F27" s="1" t="str" cm="1">
        <f t="array" ref="F27">_xlfn.IFS(Table1[[#This Row],[age]]&gt;=50,"senior",Table1[[#This Row],[age]]&gt;20,"adult",Table1[[#This Row],[age]]&lt;=20,"teenager")</f>
        <v>adult</v>
      </c>
      <c r="G27" s="3">
        <v>45415</v>
      </c>
      <c r="H27" s="1" t="str">
        <f>TEXT(Table1[[#This Row],[date]],"mmm")</f>
        <v>May</v>
      </c>
      <c r="I27" s="1" t="s">
        <v>673</v>
      </c>
      <c r="J27" s="1" t="s">
        <v>397</v>
      </c>
      <c r="K27" s="1" t="s">
        <v>35</v>
      </c>
      <c r="L27" s="1" t="s">
        <v>58</v>
      </c>
      <c r="M27" s="1" t="s">
        <v>45</v>
      </c>
      <c r="N27" s="1">
        <v>1</v>
      </c>
      <c r="O27" s="1" t="s">
        <v>17</v>
      </c>
      <c r="P27" s="1">
        <v>1400</v>
      </c>
      <c r="Q27" s="5" t="s">
        <v>29</v>
      </c>
      <c r="R27" s="11" t="s">
        <v>677</v>
      </c>
    </row>
    <row r="28" spans="1:18" x14ac:dyDescent="0.3">
      <c r="A28" s="4">
        <v>27</v>
      </c>
      <c r="B28" s="1" t="s">
        <v>96</v>
      </c>
      <c r="C28" s="1">
        <v>634564</v>
      </c>
      <c r="D28" s="1" t="s">
        <v>15</v>
      </c>
      <c r="E28" s="1">
        <v>27</v>
      </c>
      <c r="F28" s="1" t="str" cm="1">
        <f t="array" ref="F28">_xlfn.IFS(Table1[[#This Row],[age]]&gt;=50,"senior",Table1[[#This Row],[age]]&gt;20,"adult",Table1[[#This Row],[age]]&lt;=20,"teenager")</f>
        <v>adult</v>
      </c>
      <c r="G28" s="3">
        <v>45416</v>
      </c>
      <c r="H28" s="1" t="str">
        <f>TEXT(Table1[[#This Row],[date]],"mmm")</f>
        <v>May</v>
      </c>
      <c r="I28" s="1" t="s">
        <v>673</v>
      </c>
      <c r="J28" s="1" t="s">
        <v>398</v>
      </c>
      <c r="K28" s="1" t="s">
        <v>35</v>
      </c>
      <c r="L28" s="1" t="s">
        <v>57</v>
      </c>
      <c r="M28" s="1" t="s">
        <v>45</v>
      </c>
      <c r="N28" s="1">
        <v>1</v>
      </c>
      <c r="O28" s="1" t="s">
        <v>17</v>
      </c>
      <c r="P28" s="1">
        <v>1245</v>
      </c>
      <c r="Q28" s="5" t="s">
        <v>30</v>
      </c>
      <c r="R28" s="11" t="s">
        <v>677</v>
      </c>
    </row>
    <row r="29" spans="1:18" x14ac:dyDescent="0.3">
      <c r="A29" s="4">
        <v>28</v>
      </c>
      <c r="B29" s="1" t="s">
        <v>97</v>
      </c>
      <c r="C29" s="1">
        <v>645675</v>
      </c>
      <c r="D29" s="1" t="s">
        <v>15</v>
      </c>
      <c r="E29" s="1">
        <v>20</v>
      </c>
      <c r="F29" s="1" t="str" cm="1">
        <f t="array" ref="F29">_xlfn.IFS(Table1[[#This Row],[age]]&gt;=50,"senior",Table1[[#This Row],[age]]&gt;20,"adult",Table1[[#This Row],[age]]&lt;=20,"teenager")</f>
        <v>teenager</v>
      </c>
      <c r="G29" s="3">
        <v>45417</v>
      </c>
      <c r="H29" s="1" t="str">
        <f>TEXT(Table1[[#This Row],[date]],"mmm")</f>
        <v>May</v>
      </c>
      <c r="I29" s="1" t="s">
        <v>673</v>
      </c>
      <c r="J29" s="1" t="s">
        <v>399</v>
      </c>
      <c r="K29" s="1" t="s">
        <v>38</v>
      </c>
      <c r="L29" s="1" t="s">
        <v>54</v>
      </c>
      <c r="M29" s="1" t="s">
        <v>45</v>
      </c>
      <c r="N29" s="1">
        <v>1</v>
      </c>
      <c r="O29" s="1" t="s">
        <v>17</v>
      </c>
      <c r="P29" s="1">
        <v>1250</v>
      </c>
      <c r="Q29" s="5" t="s">
        <v>31</v>
      </c>
      <c r="R29" s="11" t="s">
        <v>677</v>
      </c>
    </row>
    <row r="30" spans="1:18" x14ac:dyDescent="0.3">
      <c r="A30" s="4">
        <v>29</v>
      </c>
      <c r="B30" s="1" t="s">
        <v>98</v>
      </c>
      <c r="C30" s="1">
        <v>656786</v>
      </c>
      <c r="D30" s="1" t="s">
        <v>15</v>
      </c>
      <c r="E30" s="1">
        <v>19</v>
      </c>
      <c r="F30" s="1" t="str" cm="1">
        <f t="array" ref="F30">_xlfn.IFS(Table1[[#This Row],[age]]&gt;=50,"senior",Table1[[#This Row],[age]]&gt;20,"adult",Table1[[#This Row],[age]]&lt;=20,"teenager")</f>
        <v>teenager</v>
      </c>
      <c r="G30" s="3">
        <v>45418</v>
      </c>
      <c r="H30" s="1" t="str">
        <f>TEXT(Table1[[#This Row],[date]],"mmm")</f>
        <v>May</v>
      </c>
      <c r="I30" s="1" t="s">
        <v>673</v>
      </c>
      <c r="J30" s="1" t="s">
        <v>400</v>
      </c>
      <c r="K30" s="1" t="s">
        <v>38</v>
      </c>
      <c r="L30" s="1" t="s">
        <v>58</v>
      </c>
      <c r="M30" s="1" t="s">
        <v>45</v>
      </c>
      <c r="N30" s="1">
        <v>1</v>
      </c>
      <c r="O30" s="1" t="s">
        <v>17</v>
      </c>
      <c r="P30" s="1">
        <v>1255</v>
      </c>
      <c r="Q30" s="5" t="s">
        <v>32</v>
      </c>
      <c r="R30" s="11" t="s">
        <v>677</v>
      </c>
    </row>
    <row r="31" spans="1:18" x14ac:dyDescent="0.3">
      <c r="A31" s="4">
        <v>30</v>
      </c>
      <c r="B31" s="1" t="s">
        <v>99</v>
      </c>
      <c r="C31" s="1">
        <v>667897</v>
      </c>
      <c r="D31" s="1" t="s">
        <v>15</v>
      </c>
      <c r="E31" s="1">
        <v>18</v>
      </c>
      <c r="F31" s="1" t="str" cm="1">
        <f t="array" ref="F31">_xlfn.IFS(Table1[[#This Row],[age]]&gt;=50,"senior",Table1[[#This Row],[age]]&gt;20,"adult",Table1[[#This Row],[age]]&lt;=20,"teenager")</f>
        <v>teenager</v>
      </c>
      <c r="G31" s="3">
        <v>45419</v>
      </c>
      <c r="H31" s="1" t="str">
        <f>TEXT(Table1[[#This Row],[date]],"mmm")</f>
        <v>May</v>
      </c>
      <c r="I31" s="1" t="s">
        <v>673</v>
      </c>
      <c r="J31" s="1" t="s">
        <v>401</v>
      </c>
      <c r="K31" s="1" t="s">
        <v>39</v>
      </c>
      <c r="L31" s="1" t="s">
        <v>57</v>
      </c>
      <c r="M31" s="1" t="s">
        <v>44</v>
      </c>
      <c r="N31" s="1">
        <v>1</v>
      </c>
      <c r="O31" s="1" t="s">
        <v>17</v>
      </c>
      <c r="P31" s="1">
        <v>1260</v>
      </c>
      <c r="Q31" s="5" t="s">
        <v>32</v>
      </c>
      <c r="R31" s="11" t="s">
        <v>677</v>
      </c>
    </row>
    <row r="32" spans="1:18" x14ac:dyDescent="0.3">
      <c r="A32" s="4">
        <v>31</v>
      </c>
      <c r="B32" s="1" t="s">
        <v>100</v>
      </c>
      <c r="C32" s="1">
        <v>679008</v>
      </c>
      <c r="D32" s="1" t="s">
        <v>15</v>
      </c>
      <c r="E32" s="1">
        <v>18</v>
      </c>
      <c r="F32" s="1" t="str" cm="1">
        <f t="array" ref="F32">_xlfn.IFS(Table1[[#This Row],[age]]&gt;=50,"senior",Table1[[#This Row],[age]]&gt;20,"adult",Table1[[#This Row],[age]]&lt;=20,"teenager")</f>
        <v>teenager</v>
      </c>
      <c r="G32" s="3">
        <v>45420</v>
      </c>
      <c r="H32" s="1" t="str">
        <f>TEXT(Table1[[#This Row],[date]],"mmm")</f>
        <v>May</v>
      </c>
      <c r="I32" s="1" t="s">
        <v>673</v>
      </c>
      <c r="J32" s="1" t="s">
        <v>402</v>
      </c>
      <c r="K32" s="1" t="s">
        <v>39</v>
      </c>
      <c r="L32" s="1" t="s">
        <v>54</v>
      </c>
      <c r="M32" s="1" t="s">
        <v>44</v>
      </c>
      <c r="N32" s="1">
        <v>1</v>
      </c>
      <c r="O32" s="1" t="s">
        <v>17</v>
      </c>
      <c r="P32" s="1">
        <v>1265</v>
      </c>
      <c r="Q32" s="5" t="s">
        <v>18</v>
      </c>
      <c r="R32" s="11" t="s">
        <v>677</v>
      </c>
    </row>
    <row r="33" spans="1:18" x14ac:dyDescent="0.3">
      <c r="A33" s="4">
        <v>32</v>
      </c>
      <c r="B33" s="1" t="s">
        <v>101</v>
      </c>
      <c r="C33" s="1">
        <v>690119</v>
      </c>
      <c r="D33" s="1" t="s">
        <v>16</v>
      </c>
      <c r="E33" s="1">
        <v>18</v>
      </c>
      <c r="F33" s="1" t="str" cm="1">
        <f t="array" ref="F33">_xlfn.IFS(Table1[[#This Row],[age]]&gt;=50,"senior",Table1[[#This Row],[age]]&gt;20,"adult",Table1[[#This Row],[age]]&lt;=20,"teenager")</f>
        <v>teenager</v>
      </c>
      <c r="G33" s="3">
        <v>45421</v>
      </c>
      <c r="H33" s="1" t="str">
        <f>TEXT(Table1[[#This Row],[date]],"mmm")</f>
        <v>May</v>
      </c>
      <c r="I33" s="1" t="s">
        <v>673</v>
      </c>
      <c r="J33" s="1" t="s">
        <v>403</v>
      </c>
      <c r="K33" s="1" t="s">
        <v>39</v>
      </c>
      <c r="L33" s="1" t="s">
        <v>55</v>
      </c>
      <c r="M33" s="1" t="s">
        <v>44</v>
      </c>
      <c r="N33" s="1">
        <v>1</v>
      </c>
      <c r="O33" s="1" t="s">
        <v>17</v>
      </c>
      <c r="P33" s="1">
        <v>1270</v>
      </c>
      <c r="Q33" s="5" t="s">
        <v>19</v>
      </c>
      <c r="R33" s="11" t="s">
        <v>677</v>
      </c>
    </row>
    <row r="34" spans="1:18" x14ac:dyDescent="0.3">
      <c r="A34" s="4">
        <v>33</v>
      </c>
      <c r="B34" s="1" t="s">
        <v>102</v>
      </c>
      <c r="C34" s="1">
        <v>701230</v>
      </c>
      <c r="D34" s="1" t="s">
        <v>16</v>
      </c>
      <c r="E34" s="1">
        <v>22</v>
      </c>
      <c r="F34" s="1" t="str" cm="1">
        <f t="array" ref="F34">_xlfn.IFS(Table1[[#This Row],[age]]&gt;=50,"senior",Table1[[#This Row],[age]]&gt;20,"adult",Table1[[#This Row],[age]]&lt;=20,"teenager")</f>
        <v>adult</v>
      </c>
      <c r="G34" s="3">
        <v>45422</v>
      </c>
      <c r="H34" s="1" t="str">
        <f>TEXT(Table1[[#This Row],[date]],"mmm")</f>
        <v>May</v>
      </c>
      <c r="I34" s="1" t="s">
        <v>673</v>
      </c>
      <c r="J34" s="1" t="s">
        <v>404</v>
      </c>
      <c r="K34" s="1" t="s">
        <v>39</v>
      </c>
      <c r="L34" s="1" t="s">
        <v>55</v>
      </c>
      <c r="M34" s="1" t="s">
        <v>41</v>
      </c>
      <c r="N34" s="1">
        <v>1</v>
      </c>
      <c r="O34" s="1" t="s">
        <v>17</v>
      </c>
      <c r="P34" s="1">
        <v>1275</v>
      </c>
      <c r="Q34" s="5" t="s">
        <v>27</v>
      </c>
      <c r="R34" s="11" t="s">
        <v>677</v>
      </c>
    </row>
    <row r="35" spans="1:18" x14ac:dyDescent="0.3">
      <c r="A35" s="4">
        <v>34</v>
      </c>
      <c r="B35" s="1" t="s">
        <v>103</v>
      </c>
      <c r="C35" s="1">
        <v>712341</v>
      </c>
      <c r="D35" s="1" t="s">
        <v>16</v>
      </c>
      <c r="E35" s="1">
        <v>23</v>
      </c>
      <c r="F35" s="1" t="str" cm="1">
        <f t="array" ref="F35">_xlfn.IFS(Table1[[#This Row],[age]]&gt;=50,"senior",Table1[[#This Row],[age]]&gt;20,"adult",Table1[[#This Row],[age]]&lt;=20,"teenager")</f>
        <v>adult</v>
      </c>
      <c r="G35" s="3">
        <v>45423</v>
      </c>
      <c r="H35" s="1" t="str">
        <f>TEXT(Table1[[#This Row],[date]],"mmm")</f>
        <v>May</v>
      </c>
      <c r="I35" s="1" t="s">
        <v>673</v>
      </c>
      <c r="J35" s="1" t="s">
        <v>405</v>
      </c>
      <c r="K35" s="1" t="s">
        <v>39</v>
      </c>
      <c r="L35" s="1" t="s">
        <v>55</v>
      </c>
      <c r="M35" s="1" t="s">
        <v>41</v>
      </c>
      <c r="N35" s="1">
        <v>1</v>
      </c>
      <c r="O35" s="1" t="s">
        <v>17</v>
      </c>
      <c r="P35" s="1">
        <v>1280</v>
      </c>
      <c r="Q35" s="5" t="s">
        <v>23</v>
      </c>
      <c r="R35" s="11" t="s">
        <v>677</v>
      </c>
    </row>
    <row r="36" spans="1:18" x14ac:dyDescent="0.3">
      <c r="A36" s="4">
        <v>35</v>
      </c>
      <c r="B36" s="1" t="s">
        <v>104</v>
      </c>
      <c r="C36" s="1">
        <v>723452</v>
      </c>
      <c r="D36" s="1" t="s">
        <v>16</v>
      </c>
      <c r="E36" s="1">
        <v>24</v>
      </c>
      <c r="F36" s="1" t="str" cm="1">
        <f t="array" ref="F36">_xlfn.IFS(Table1[[#This Row],[age]]&gt;=50,"senior",Table1[[#This Row],[age]]&gt;20,"adult",Table1[[#This Row],[age]]&lt;=20,"teenager")</f>
        <v>adult</v>
      </c>
      <c r="G36" s="3">
        <v>45424</v>
      </c>
      <c r="H36" s="1" t="str">
        <f>TEXT(Table1[[#This Row],[date]],"mmm")</f>
        <v>May</v>
      </c>
      <c r="I36" s="1" t="s">
        <v>673</v>
      </c>
      <c r="J36" s="1" t="s">
        <v>406</v>
      </c>
      <c r="K36" s="1" t="s">
        <v>39</v>
      </c>
      <c r="L36" s="1" t="s">
        <v>55</v>
      </c>
      <c r="M36" s="1" t="s">
        <v>41</v>
      </c>
      <c r="N36" s="1">
        <v>1</v>
      </c>
      <c r="O36" s="1" t="s">
        <v>17</v>
      </c>
      <c r="P36" s="1">
        <v>1285</v>
      </c>
      <c r="Q36" s="5" t="s">
        <v>33</v>
      </c>
      <c r="R36" s="11" t="s">
        <v>677</v>
      </c>
    </row>
    <row r="37" spans="1:18" x14ac:dyDescent="0.3">
      <c r="A37" s="4">
        <v>36</v>
      </c>
      <c r="B37" s="1" t="s">
        <v>105</v>
      </c>
      <c r="C37" s="1">
        <v>734563</v>
      </c>
      <c r="D37" s="1" t="s">
        <v>16</v>
      </c>
      <c r="E37" s="1">
        <v>25</v>
      </c>
      <c r="F37" s="1" t="str" cm="1">
        <f t="array" ref="F37">_xlfn.IFS(Table1[[#This Row],[age]]&gt;=50,"senior",Table1[[#This Row],[age]]&gt;20,"adult",Table1[[#This Row],[age]]&lt;=20,"teenager")</f>
        <v>adult</v>
      </c>
      <c r="G37" s="3">
        <v>45425</v>
      </c>
      <c r="H37" s="1" t="str">
        <f>TEXT(Table1[[#This Row],[date]],"mmm")</f>
        <v>May</v>
      </c>
      <c r="I37" s="1" t="s">
        <v>673</v>
      </c>
      <c r="J37" s="1" t="s">
        <v>407</v>
      </c>
      <c r="K37" s="1" t="s">
        <v>39</v>
      </c>
      <c r="L37" s="1" t="s">
        <v>64</v>
      </c>
      <c r="M37" s="1" t="s">
        <v>42</v>
      </c>
      <c r="N37" s="1">
        <v>1</v>
      </c>
      <c r="O37" s="1" t="s">
        <v>17</v>
      </c>
      <c r="P37" s="1">
        <v>1290</v>
      </c>
      <c r="Q37" s="5" t="s">
        <v>23</v>
      </c>
      <c r="R37" s="11" t="s">
        <v>677</v>
      </c>
    </row>
    <row r="38" spans="1:18" x14ac:dyDescent="0.3">
      <c r="A38" s="4">
        <v>37</v>
      </c>
      <c r="B38" s="1" t="s">
        <v>106</v>
      </c>
      <c r="C38" s="1">
        <v>745674</v>
      </c>
      <c r="D38" s="1" t="s">
        <v>16</v>
      </c>
      <c r="E38" s="1">
        <v>26</v>
      </c>
      <c r="F38" s="1" t="str" cm="1">
        <f t="array" ref="F38">_xlfn.IFS(Table1[[#This Row],[age]]&gt;=50,"senior",Table1[[#This Row],[age]]&gt;20,"adult",Table1[[#This Row],[age]]&lt;=20,"teenager")</f>
        <v>adult</v>
      </c>
      <c r="G38" s="3">
        <v>45426</v>
      </c>
      <c r="H38" s="1" t="str">
        <f>TEXT(Table1[[#This Row],[date]],"mmm")</f>
        <v>May</v>
      </c>
      <c r="I38" s="1" t="s">
        <v>674</v>
      </c>
      <c r="J38" s="1" t="s">
        <v>408</v>
      </c>
      <c r="K38" s="1" t="s">
        <v>39</v>
      </c>
      <c r="L38" s="1" t="s">
        <v>64</v>
      </c>
      <c r="M38" s="1" t="s">
        <v>42</v>
      </c>
      <c r="N38" s="1">
        <v>1</v>
      </c>
      <c r="O38" s="1" t="s">
        <v>17</v>
      </c>
      <c r="P38" s="1">
        <v>1295</v>
      </c>
      <c r="Q38" s="5" t="s">
        <v>18</v>
      </c>
      <c r="R38" s="11" t="s">
        <v>677</v>
      </c>
    </row>
    <row r="39" spans="1:18" x14ac:dyDescent="0.3">
      <c r="A39" s="4">
        <v>38</v>
      </c>
      <c r="B39" s="1" t="s">
        <v>107</v>
      </c>
      <c r="C39" s="1">
        <v>756785</v>
      </c>
      <c r="D39" s="1" t="s">
        <v>16</v>
      </c>
      <c r="E39" s="1">
        <v>27</v>
      </c>
      <c r="F39" s="1" t="str" cm="1">
        <f t="array" ref="F39">_xlfn.IFS(Table1[[#This Row],[age]]&gt;=50,"senior",Table1[[#This Row],[age]]&gt;20,"adult",Table1[[#This Row],[age]]&lt;=20,"teenager")</f>
        <v>adult</v>
      </c>
      <c r="G39" s="3">
        <v>45427</v>
      </c>
      <c r="H39" s="1" t="str">
        <f>TEXT(Table1[[#This Row],[date]],"mmm")</f>
        <v>May</v>
      </c>
      <c r="I39" s="1" t="s">
        <v>673</v>
      </c>
      <c r="J39" s="1" t="s">
        <v>409</v>
      </c>
      <c r="K39" s="1" t="s">
        <v>39</v>
      </c>
      <c r="L39" s="1" t="s">
        <v>64</v>
      </c>
      <c r="M39" s="1" t="s">
        <v>42</v>
      </c>
      <c r="N39" s="1">
        <v>1</v>
      </c>
      <c r="O39" s="1" t="s">
        <v>17</v>
      </c>
      <c r="P39" s="1">
        <v>1300</v>
      </c>
      <c r="Q39" s="5" t="s">
        <v>25</v>
      </c>
      <c r="R39" s="11" t="s">
        <v>677</v>
      </c>
    </row>
    <row r="40" spans="1:18" x14ac:dyDescent="0.3">
      <c r="A40" s="4">
        <v>39</v>
      </c>
      <c r="B40" s="1" t="s">
        <v>108</v>
      </c>
      <c r="C40" s="1">
        <v>767896</v>
      </c>
      <c r="D40" s="1" t="s">
        <v>15</v>
      </c>
      <c r="E40" s="1">
        <v>34</v>
      </c>
      <c r="F40" s="1" t="str" cm="1">
        <f t="array" ref="F40">_xlfn.IFS(Table1[[#This Row],[age]]&gt;=50,"senior",Table1[[#This Row],[age]]&gt;20,"adult",Table1[[#This Row],[age]]&lt;=20,"teenager")</f>
        <v>adult</v>
      </c>
      <c r="G40" s="3">
        <v>45428</v>
      </c>
      <c r="H40" s="1" t="str">
        <f>TEXT(Table1[[#This Row],[date]],"mmm")</f>
        <v>May</v>
      </c>
      <c r="I40" s="1" t="s">
        <v>673</v>
      </c>
      <c r="J40" s="1" t="s">
        <v>410</v>
      </c>
      <c r="K40" s="1" t="s">
        <v>39</v>
      </c>
      <c r="L40" s="1" t="s">
        <v>57</v>
      </c>
      <c r="M40" s="1" t="s">
        <v>42</v>
      </c>
      <c r="N40" s="1">
        <v>1</v>
      </c>
      <c r="O40" s="1" t="s">
        <v>17</v>
      </c>
      <c r="P40" s="1">
        <v>1305</v>
      </c>
      <c r="Q40" s="5" t="s">
        <v>20</v>
      </c>
      <c r="R40" s="11" t="s">
        <v>677</v>
      </c>
    </row>
    <row r="41" spans="1:18" x14ac:dyDescent="0.3">
      <c r="A41" s="4">
        <v>40</v>
      </c>
      <c r="B41" s="1" t="s">
        <v>109</v>
      </c>
      <c r="C41" s="1">
        <v>779007</v>
      </c>
      <c r="D41" s="1" t="s">
        <v>15</v>
      </c>
      <c r="E41" s="1">
        <v>36</v>
      </c>
      <c r="F41" s="1" t="str" cm="1">
        <f t="array" ref="F41">_xlfn.IFS(Table1[[#This Row],[age]]&gt;=50,"senior",Table1[[#This Row],[age]]&gt;20,"adult",Table1[[#This Row],[age]]&lt;=20,"teenager")</f>
        <v>adult</v>
      </c>
      <c r="G41" s="3">
        <v>45429</v>
      </c>
      <c r="H41" s="1" t="str">
        <f>TEXT(Table1[[#This Row],[date]],"mmm")</f>
        <v>May</v>
      </c>
      <c r="I41" s="1" t="s">
        <v>673</v>
      </c>
      <c r="J41" s="1" t="s">
        <v>411</v>
      </c>
      <c r="K41" s="1" t="s">
        <v>39</v>
      </c>
      <c r="L41" s="1" t="s">
        <v>54</v>
      </c>
      <c r="M41" s="1" t="s">
        <v>42</v>
      </c>
      <c r="N41" s="1">
        <v>1</v>
      </c>
      <c r="O41" s="1" t="s">
        <v>17</v>
      </c>
      <c r="P41" s="1">
        <v>1010</v>
      </c>
      <c r="Q41" s="5" t="s">
        <v>21</v>
      </c>
      <c r="R41" s="11" t="s">
        <v>677</v>
      </c>
    </row>
    <row r="42" spans="1:18" x14ac:dyDescent="0.3">
      <c r="A42" s="4">
        <v>41</v>
      </c>
      <c r="B42" s="1" t="s">
        <v>110</v>
      </c>
      <c r="C42" s="1">
        <v>790118</v>
      </c>
      <c r="D42" s="1" t="s">
        <v>15</v>
      </c>
      <c r="E42" s="1">
        <v>38</v>
      </c>
      <c r="F42" s="1" t="str" cm="1">
        <f t="array" ref="F42">_xlfn.IFS(Table1[[#This Row],[age]]&gt;=50,"senior",Table1[[#This Row],[age]]&gt;20,"adult",Table1[[#This Row],[age]]&lt;=20,"teenager")</f>
        <v>adult</v>
      </c>
      <c r="G42" s="3">
        <v>45430</v>
      </c>
      <c r="H42" s="1" t="str">
        <f>TEXT(Table1[[#This Row],[date]],"mmm")</f>
        <v>May</v>
      </c>
      <c r="I42" s="1" t="s">
        <v>673</v>
      </c>
      <c r="J42" s="1" t="s">
        <v>412</v>
      </c>
      <c r="K42" s="1" t="s">
        <v>39</v>
      </c>
      <c r="L42" s="1" t="s">
        <v>57</v>
      </c>
      <c r="M42" s="1" t="s">
        <v>41</v>
      </c>
      <c r="N42" s="1">
        <v>1</v>
      </c>
      <c r="O42" s="1" t="s">
        <v>17</v>
      </c>
      <c r="P42" s="1">
        <v>1012</v>
      </c>
      <c r="Q42" s="5" t="s">
        <v>21</v>
      </c>
      <c r="R42" s="11" t="s">
        <v>677</v>
      </c>
    </row>
    <row r="43" spans="1:18" x14ac:dyDescent="0.3">
      <c r="A43" s="4">
        <v>42</v>
      </c>
      <c r="B43" s="1" t="s">
        <v>111</v>
      </c>
      <c r="C43" s="1">
        <v>801229</v>
      </c>
      <c r="D43" s="1" t="s">
        <v>16</v>
      </c>
      <c r="E43" s="1">
        <v>40</v>
      </c>
      <c r="F43" s="1" t="str" cm="1">
        <f t="array" ref="F43">_xlfn.IFS(Table1[[#This Row],[age]]&gt;=50,"senior",Table1[[#This Row],[age]]&gt;20,"adult",Table1[[#This Row],[age]]&lt;=20,"teenager")</f>
        <v>adult</v>
      </c>
      <c r="G43" s="3">
        <v>45431</v>
      </c>
      <c r="H43" s="1" t="str">
        <f>TEXT(Table1[[#This Row],[date]],"mmm")</f>
        <v>May</v>
      </c>
      <c r="I43" s="1" t="s">
        <v>674</v>
      </c>
      <c r="J43" s="1" t="s">
        <v>413</v>
      </c>
      <c r="K43" s="1" t="s">
        <v>39</v>
      </c>
      <c r="L43" s="1" t="s">
        <v>56</v>
      </c>
      <c r="M43" s="1" t="s">
        <v>41</v>
      </c>
      <c r="N43" s="1">
        <v>1</v>
      </c>
      <c r="O43" s="1" t="s">
        <v>17</v>
      </c>
      <c r="P43" s="1">
        <v>1014</v>
      </c>
      <c r="Q43" s="5" t="s">
        <v>20</v>
      </c>
      <c r="R43" s="11" t="s">
        <v>677</v>
      </c>
    </row>
    <row r="44" spans="1:18" x14ac:dyDescent="0.3">
      <c r="A44" s="4">
        <v>43</v>
      </c>
      <c r="B44" s="1" t="s">
        <v>112</v>
      </c>
      <c r="C44" s="1">
        <v>812340</v>
      </c>
      <c r="D44" s="1" t="s">
        <v>16</v>
      </c>
      <c r="E44" s="1">
        <v>42</v>
      </c>
      <c r="F44" s="1" t="str" cm="1">
        <f t="array" ref="F44">_xlfn.IFS(Table1[[#This Row],[age]]&gt;=50,"senior",Table1[[#This Row],[age]]&gt;20,"adult",Table1[[#This Row],[age]]&lt;=20,"teenager")</f>
        <v>adult</v>
      </c>
      <c r="G44" s="3">
        <v>45432</v>
      </c>
      <c r="H44" s="1" t="str">
        <f>TEXT(Table1[[#This Row],[date]],"mmm")</f>
        <v>May</v>
      </c>
      <c r="I44" s="1" t="s">
        <v>673</v>
      </c>
      <c r="J44" s="1" t="s">
        <v>414</v>
      </c>
      <c r="K44" s="1" t="s">
        <v>36</v>
      </c>
      <c r="L44" s="1" t="s">
        <v>56</v>
      </c>
      <c r="M44" s="1" t="s">
        <v>41</v>
      </c>
      <c r="N44" s="1">
        <v>1</v>
      </c>
      <c r="O44" s="1" t="s">
        <v>17</v>
      </c>
      <c r="P44" s="1">
        <v>1016</v>
      </c>
      <c r="Q44" s="5" t="s">
        <v>20</v>
      </c>
      <c r="R44" s="11" t="s">
        <v>677</v>
      </c>
    </row>
    <row r="45" spans="1:18" x14ac:dyDescent="0.3">
      <c r="A45" s="4">
        <v>44</v>
      </c>
      <c r="B45" s="1" t="s">
        <v>113</v>
      </c>
      <c r="C45" s="1">
        <v>823451</v>
      </c>
      <c r="D45" s="1" t="s">
        <v>16</v>
      </c>
      <c r="E45" s="1">
        <v>19</v>
      </c>
      <c r="F45" s="1" t="str" cm="1">
        <f t="array" ref="F45">_xlfn.IFS(Table1[[#This Row],[age]]&gt;=50,"senior",Table1[[#This Row],[age]]&gt;20,"adult",Table1[[#This Row],[age]]&lt;=20,"teenager")</f>
        <v>teenager</v>
      </c>
      <c r="G45" s="3">
        <v>45433</v>
      </c>
      <c r="H45" s="1" t="str">
        <f>TEXT(Table1[[#This Row],[date]],"mmm")</f>
        <v>May</v>
      </c>
      <c r="I45" s="1" t="s">
        <v>673</v>
      </c>
      <c r="J45" s="1" t="s">
        <v>415</v>
      </c>
      <c r="K45" s="1" t="s">
        <v>36</v>
      </c>
      <c r="L45" s="1" t="s">
        <v>56</v>
      </c>
      <c r="M45" s="1" t="s">
        <v>41</v>
      </c>
      <c r="N45" s="1">
        <v>1</v>
      </c>
      <c r="O45" s="1" t="s">
        <v>17</v>
      </c>
      <c r="P45" s="1">
        <v>800</v>
      </c>
      <c r="Q45" s="5" t="s">
        <v>20</v>
      </c>
      <c r="R45" s="11" t="s">
        <v>677</v>
      </c>
    </row>
    <row r="46" spans="1:18" x14ac:dyDescent="0.3">
      <c r="A46" s="4">
        <v>45</v>
      </c>
      <c r="B46" s="1" t="s">
        <v>114</v>
      </c>
      <c r="C46" s="1">
        <v>834562</v>
      </c>
      <c r="D46" s="1" t="s">
        <v>16</v>
      </c>
      <c r="E46" s="1">
        <v>20</v>
      </c>
      <c r="F46" s="1" t="str" cm="1">
        <f t="array" ref="F46">_xlfn.IFS(Table1[[#This Row],[age]]&gt;=50,"senior",Table1[[#This Row],[age]]&gt;20,"adult",Table1[[#This Row],[age]]&lt;=20,"teenager")</f>
        <v>teenager</v>
      </c>
      <c r="G46" s="3">
        <v>45434</v>
      </c>
      <c r="H46" s="1" t="str">
        <f>TEXT(Table1[[#This Row],[date]],"mmm")</f>
        <v>May</v>
      </c>
      <c r="I46" s="1" t="s">
        <v>673</v>
      </c>
      <c r="J46" s="1" t="s">
        <v>416</v>
      </c>
      <c r="K46" s="1" t="s">
        <v>36</v>
      </c>
      <c r="L46" s="1" t="s">
        <v>56</v>
      </c>
      <c r="M46" s="1" t="s">
        <v>41</v>
      </c>
      <c r="N46" s="1">
        <v>1</v>
      </c>
      <c r="O46" s="1" t="s">
        <v>17</v>
      </c>
      <c r="P46" s="1">
        <v>880</v>
      </c>
      <c r="Q46" s="5" t="s">
        <v>20</v>
      </c>
      <c r="R46" s="11" t="s">
        <v>677</v>
      </c>
    </row>
    <row r="47" spans="1:18" x14ac:dyDescent="0.3">
      <c r="A47" s="4">
        <v>46</v>
      </c>
      <c r="B47" s="1" t="s">
        <v>115</v>
      </c>
      <c r="C47" s="1">
        <v>845673</v>
      </c>
      <c r="D47" s="1" t="s">
        <v>16</v>
      </c>
      <c r="E47" s="1">
        <v>21</v>
      </c>
      <c r="F47" s="1" t="str" cm="1">
        <f t="array" ref="F47">_xlfn.IFS(Table1[[#This Row],[age]]&gt;=50,"senior",Table1[[#This Row],[age]]&gt;20,"adult",Table1[[#This Row],[age]]&lt;=20,"teenager")</f>
        <v>adult</v>
      </c>
      <c r="G47" s="3">
        <v>45435</v>
      </c>
      <c r="H47" s="1" t="str">
        <f>TEXT(Table1[[#This Row],[date]],"mmm")</f>
        <v>May</v>
      </c>
      <c r="I47" s="1" t="s">
        <v>675</v>
      </c>
      <c r="J47" s="1" t="s">
        <v>417</v>
      </c>
      <c r="K47" s="1" t="s">
        <v>36</v>
      </c>
      <c r="L47" s="1" t="s">
        <v>56</v>
      </c>
      <c r="M47" s="1" t="s">
        <v>45</v>
      </c>
      <c r="N47" s="1">
        <v>1</v>
      </c>
      <c r="O47" s="1" t="s">
        <v>17</v>
      </c>
      <c r="P47" s="1">
        <v>960</v>
      </c>
      <c r="Q47" s="5" t="s">
        <v>20</v>
      </c>
      <c r="R47" s="11" t="s">
        <v>677</v>
      </c>
    </row>
    <row r="48" spans="1:18" x14ac:dyDescent="0.3">
      <c r="A48" s="4">
        <v>47</v>
      </c>
      <c r="B48" s="1" t="s">
        <v>116</v>
      </c>
      <c r="C48" s="1">
        <v>856784</v>
      </c>
      <c r="D48" s="1" t="s">
        <v>16</v>
      </c>
      <c r="E48" s="1">
        <v>22</v>
      </c>
      <c r="F48" s="1" t="str" cm="1">
        <f t="array" ref="F48">_xlfn.IFS(Table1[[#This Row],[age]]&gt;=50,"senior",Table1[[#This Row],[age]]&gt;20,"adult",Table1[[#This Row],[age]]&lt;=20,"teenager")</f>
        <v>adult</v>
      </c>
      <c r="G48" s="3">
        <v>45436</v>
      </c>
      <c r="H48" s="1" t="str">
        <f>TEXT(Table1[[#This Row],[date]],"mmm")</f>
        <v>May</v>
      </c>
      <c r="I48" s="1" t="s">
        <v>673</v>
      </c>
      <c r="J48" s="1" t="s">
        <v>418</v>
      </c>
      <c r="K48" s="1" t="s">
        <v>49</v>
      </c>
      <c r="L48" s="1" t="s">
        <v>56</v>
      </c>
      <c r="M48" s="1" t="s">
        <v>45</v>
      </c>
      <c r="N48" s="1">
        <v>1</v>
      </c>
      <c r="O48" s="1" t="s">
        <v>17</v>
      </c>
      <c r="P48" s="1">
        <v>1040</v>
      </c>
      <c r="Q48" s="5" t="s">
        <v>20</v>
      </c>
      <c r="R48" s="11" t="s">
        <v>677</v>
      </c>
    </row>
    <row r="49" spans="1:18" x14ac:dyDescent="0.3">
      <c r="A49" s="4">
        <v>48</v>
      </c>
      <c r="B49" s="1" t="s">
        <v>117</v>
      </c>
      <c r="C49" s="1">
        <v>867895</v>
      </c>
      <c r="D49" s="1" t="s">
        <v>16</v>
      </c>
      <c r="E49" s="1">
        <v>23</v>
      </c>
      <c r="F49" s="1" t="str" cm="1">
        <f t="array" ref="F49">_xlfn.IFS(Table1[[#This Row],[age]]&gt;=50,"senior",Table1[[#This Row],[age]]&gt;20,"adult",Table1[[#This Row],[age]]&lt;=20,"teenager")</f>
        <v>adult</v>
      </c>
      <c r="G49" s="3">
        <v>45437</v>
      </c>
      <c r="H49" s="1" t="str">
        <f>TEXT(Table1[[#This Row],[date]],"mmm")</f>
        <v>May</v>
      </c>
      <c r="I49" s="1" t="s">
        <v>673</v>
      </c>
      <c r="J49" s="1" t="s">
        <v>419</v>
      </c>
      <c r="K49" s="1" t="s">
        <v>49</v>
      </c>
      <c r="L49" s="1" t="s">
        <v>56</v>
      </c>
      <c r="M49" s="1" t="s">
        <v>43</v>
      </c>
      <c r="N49" s="1">
        <v>1</v>
      </c>
      <c r="O49" s="1" t="s">
        <v>17</v>
      </c>
      <c r="P49" s="1">
        <v>1120</v>
      </c>
      <c r="Q49" s="5" t="s">
        <v>25</v>
      </c>
      <c r="R49" s="11" t="s">
        <v>677</v>
      </c>
    </row>
    <row r="50" spans="1:18" x14ac:dyDescent="0.3">
      <c r="A50" s="4">
        <v>49</v>
      </c>
      <c r="B50" s="1" t="s">
        <v>118</v>
      </c>
      <c r="C50" s="1">
        <v>879006</v>
      </c>
      <c r="D50" s="1" t="s">
        <v>16</v>
      </c>
      <c r="E50" s="1">
        <v>24</v>
      </c>
      <c r="F50" s="1" t="str" cm="1">
        <f t="array" ref="F50">_xlfn.IFS(Table1[[#This Row],[age]]&gt;=50,"senior",Table1[[#This Row],[age]]&gt;20,"adult",Table1[[#This Row],[age]]&lt;=20,"teenager")</f>
        <v>adult</v>
      </c>
      <c r="G50" s="3">
        <v>45438</v>
      </c>
      <c r="H50" s="1" t="str">
        <f>TEXT(Table1[[#This Row],[date]],"mmm")</f>
        <v>May</v>
      </c>
      <c r="I50" s="1" t="s">
        <v>673</v>
      </c>
      <c r="J50" s="1" t="s">
        <v>420</v>
      </c>
      <c r="K50" s="1" t="s">
        <v>49</v>
      </c>
      <c r="L50" s="1" t="s">
        <v>56</v>
      </c>
      <c r="M50" s="1" t="s">
        <v>43</v>
      </c>
      <c r="N50" s="1">
        <v>1</v>
      </c>
      <c r="O50" s="1" t="s">
        <v>17</v>
      </c>
      <c r="P50" s="1">
        <v>1200</v>
      </c>
      <c r="Q50" s="5" t="s">
        <v>25</v>
      </c>
      <c r="R50" s="11" t="s">
        <v>677</v>
      </c>
    </row>
    <row r="51" spans="1:18" x14ac:dyDescent="0.3">
      <c r="A51" s="4">
        <v>50</v>
      </c>
      <c r="B51" s="1" t="s">
        <v>119</v>
      </c>
      <c r="C51" s="1">
        <v>890117</v>
      </c>
      <c r="D51" s="1" t="s">
        <v>16</v>
      </c>
      <c r="E51" s="1">
        <v>25</v>
      </c>
      <c r="F51" s="1" t="str" cm="1">
        <f t="array" ref="F51">_xlfn.IFS(Table1[[#This Row],[age]]&gt;=50,"senior",Table1[[#This Row],[age]]&gt;20,"adult",Table1[[#This Row],[age]]&lt;=20,"teenager")</f>
        <v>adult</v>
      </c>
      <c r="G51" s="3">
        <v>45439</v>
      </c>
      <c r="H51" s="1" t="str">
        <f>TEXT(Table1[[#This Row],[date]],"mmm")</f>
        <v>May</v>
      </c>
      <c r="I51" s="1" t="s">
        <v>674</v>
      </c>
      <c r="J51" s="1" t="s">
        <v>421</v>
      </c>
      <c r="K51" s="1" t="s">
        <v>49</v>
      </c>
      <c r="L51" s="1" t="s">
        <v>56</v>
      </c>
      <c r="M51" s="1" t="s">
        <v>43</v>
      </c>
      <c r="N51" s="1">
        <v>1</v>
      </c>
      <c r="O51" s="1" t="s">
        <v>17</v>
      </c>
      <c r="P51" s="1">
        <v>1280</v>
      </c>
      <c r="Q51" s="5" t="s">
        <v>25</v>
      </c>
      <c r="R51" s="11" t="s">
        <v>677</v>
      </c>
    </row>
    <row r="52" spans="1:18" x14ac:dyDescent="0.3">
      <c r="A52" s="4">
        <v>51</v>
      </c>
      <c r="B52" s="1" t="s">
        <v>120</v>
      </c>
      <c r="C52" s="1">
        <v>901228</v>
      </c>
      <c r="D52" s="1" t="s">
        <v>16</v>
      </c>
      <c r="E52" s="1">
        <v>26</v>
      </c>
      <c r="F52" s="1" t="str" cm="1">
        <f t="array" ref="F52">_xlfn.IFS(Table1[[#This Row],[age]]&gt;=50,"senior",Table1[[#This Row],[age]]&gt;20,"adult",Table1[[#This Row],[age]]&lt;=20,"teenager")</f>
        <v>adult</v>
      </c>
      <c r="G52" s="3">
        <v>45440</v>
      </c>
      <c r="H52" s="1" t="str">
        <f>TEXT(Table1[[#This Row],[date]],"mmm")</f>
        <v>May</v>
      </c>
      <c r="I52" s="1" t="s">
        <v>673</v>
      </c>
      <c r="J52" s="1" t="s">
        <v>422</v>
      </c>
      <c r="K52" s="1" t="s">
        <v>50</v>
      </c>
      <c r="L52" s="1" t="s">
        <v>66</v>
      </c>
      <c r="M52" s="1" t="s">
        <v>43</v>
      </c>
      <c r="N52" s="1">
        <v>1</v>
      </c>
      <c r="O52" s="1" t="s">
        <v>17</v>
      </c>
      <c r="P52" s="1">
        <v>1340</v>
      </c>
      <c r="Q52" s="5" t="s">
        <v>25</v>
      </c>
      <c r="R52" s="11" t="s">
        <v>677</v>
      </c>
    </row>
    <row r="53" spans="1:18" x14ac:dyDescent="0.3">
      <c r="A53" s="4">
        <v>52</v>
      </c>
      <c r="B53" s="1" t="s">
        <v>121</v>
      </c>
      <c r="C53" s="1">
        <v>912339</v>
      </c>
      <c r="D53" s="1" t="s">
        <v>16</v>
      </c>
      <c r="E53" s="1">
        <v>27</v>
      </c>
      <c r="F53" s="1" t="str" cm="1">
        <f t="array" ref="F53">_xlfn.IFS(Table1[[#This Row],[age]]&gt;=50,"senior",Table1[[#This Row],[age]]&gt;20,"adult",Table1[[#This Row],[age]]&lt;=20,"teenager")</f>
        <v>adult</v>
      </c>
      <c r="G53" s="3">
        <v>45441</v>
      </c>
      <c r="H53" s="1" t="str">
        <f>TEXT(Table1[[#This Row],[date]],"mmm")</f>
        <v>May</v>
      </c>
      <c r="I53" s="1" t="s">
        <v>673</v>
      </c>
      <c r="J53" s="1" t="s">
        <v>423</v>
      </c>
      <c r="K53" s="1" t="s">
        <v>50</v>
      </c>
      <c r="L53" s="1" t="s">
        <v>66</v>
      </c>
      <c r="M53" s="1" t="s">
        <v>43</v>
      </c>
      <c r="N53" s="1">
        <v>1</v>
      </c>
      <c r="O53" s="1" t="s">
        <v>17</v>
      </c>
      <c r="P53" s="1">
        <v>1380</v>
      </c>
      <c r="Q53" s="5" t="s">
        <v>27</v>
      </c>
      <c r="R53" s="11" t="s">
        <v>677</v>
      </c>
    </row>
    <row r="54" spans="1:18" x14ac:dyDescent="0.3">
      <c r="A54" s="4">
        <v>53</v>
      </c>
      <c r="B54" s="1" t="s">
        <v>122</v>
      </c>
      <c r="C54" s="1">
        <v>923450</v>
      </c>
      <c r="D54" s="1" t="s">
        <v>16</v>
      </c>
      <c r="E54" s="1">
        <v>28</v>
      </c>
      <c r="F54" s="1" t="str" cm="1">
        <f t="array" ref="F54">_xlfn.IFS(Table1[[#This Row],[age]]&gt;=50,"senior",Table1[[#This Row],[age]]&gt;20,"adult",Table1[[#This Row],[age]]&lt;=20,"teenager")</f>
        <v>adult</v>
      </c>
      <c r="G54" s="3">
        <v>45442</v>
      </c>
      <c r="H54" s="1" t="str">
        <f>TEXT(Table1[[#This Row],[date]],"mmm")</f>
        <v>May</v>
      </c>
      <c r="I54" s="1" t="s">
        <v>673</v>
      </c>
      <c r="J54" s="1" t="s">
        <v>424</v>
      </c>
      <c r="K54" s="1" t="s">
        <v>50</v>
      </c>
      <c r="L54" s="1" t="s">
        <v>66</v>
      </c>
      <c r="M54" s="1" t="s">
        <v>43</v>
      </c>
      <c r="N54" s="1">
        <v>1</v>
      </c>
      <c r="O54" s="1" t="s">
        <v>17</v>
      </c>
      <c r="P54" s="1">
        <v>1420</v>
      </c>
      <c r="Q54" s="5" t="s">
        <v>27</v>
      </c>
      <c r="R54" s="11" t="s">
        <v>677</v>
      </c>
    </row>
    <row r="55" spans="1:18" x14ac:dyDescent="0.3">
      <c r="A55" s="4">
        <v>54</v>
      </c>
      <c r="B55" s="1" t="s">
        <v>123</v>
      </c>
      <c r="C55" s="1">
        <v>934561</v>
      </c>
      <c r="D55" s="1" t="s">
        <v>16</v>
      </c>
      <c r="E55" s="1">
        <v>22</v>
      </c>
      <c r="F55" s="1" t="str" cm="1">
        <f t="array" ref="F55">_xlfn.IFS(Table1[[#This Row],[age]]&gt;=50,"senior",Table1[[#This Row],[age]]&gt;20,"adult",Table1[[#This Row],[age]]&lt;=20,"teenager")</f>
        <v>adult</v>
      </c>
      <c r="G55" s="3">
        <v>45443</v>
      </c>
      <c r="H55" s="1" t="str">
        <f>TEXT(Table1[[#This Row],[date]],"mmm")</f>
        <v>May</v>
      </c>
      <c r="I55" s="1" t="s">
        <v>673</v>
      </c>
      <c r="J55" s="1" t="s">
        <v>425</v>
      </c>
      <c r="K55" s="1" t="s">
        <v>50</v>
      </c>
      <c r="L55" s="1" t="s">
        <v>66</v>
      </c>
      <c r="M55" s="1" t="s">
        <v>43</v>
      </c>
      <c r="N55" s="1">
        <v>1</v>
      </c>
      <c r="O55" s="1" t="s">
        <v>17</v>
      </c>
      <c r="P55" s="1">
        <v>1460</v>
      </c>
      <c r="Q55" s="5" t="s">
        <v>27</v>
      </c>
      <c r="R55" s="11" t="s">
        <v>677</v>
      </c>
    </row>
    <row r="56" spans="1:18" x14ac:dyDescent="0.3">
      <c r="A56" s="4">
        <v>55</v>
      </c>
      <c r="B56" s="1" t="s">
        <v>124</v>
      </c>
      <c r="C56" s="1">
        <v>945672</v>
      </c>
      <c r="D56" s="1" t="s">
        <v>16</v>
      </c>
      <c r="E56" s="1">
        <v>23</v>
      </c>
      <c r="F56" s="1" t="str" cm="1">
        <f t="array" ref="F56">_xlfn.IFS(Table1[[#This Row],[age]]&gt;=50,"senior",Table1[[#This Row],[age]]&gt;20,"adult",Table1[[#This Row],[age]]&lt;=20,"teenager")</f>
        <v>adult</v>
      </c>
      <c r="G56" s="3">
        <v>45444</v>
      </c>
      <c r="H56" s="1" t="str">
        <f>TEXT(Table1[[#This Row],[date]],"mmm")</f>
        <v>Jun</v>
      </c>
      <c r="I56" s="1" t="s">
        <v>673</v>
      </c>
      <c r="J56" s="1" t="s">
        <v>426</v>
      </c>
      <c r="K56" s="1" t="s">
        <v>50</v>
      </c>
      <c r="L56" s="1" t="s">
        <v>66</v>
      </c>
      <c r="M56" s="1" t="s">
        <v>43</v>
      </c>
      <c r="N56" s="1">
        <v>1</v>
      </c>
      <c r="O56" s="1" t="s">
        <v>17</v>
      </c>
      <c r="P56" s="1">
        <v>1500</v>
      </c>
      <c r="Q56" s="5" t="s">
        <v>18</v>
      </c>
      <c r="R56" s="11" t="s">
        <v>677</v>
      </c>
    </row>
    <row r="57" spans="1:18" x14ac:dyDescent="0.3">
      <c r="A57" s="4">
        <v>56</v>
      </c>
      <c r="B57" s="1" t="s">
        <v>125</v>
      </c>
      <c r="C57" s="1">
        <v>956783</v>
      </c>
      <c r="D57" s="1" t="s">
        <v>16</v>
      </c>
      <c r="E57" s="1">
        <v>19</v>
      </c>
      <c r="F57" s="1" t="str" cm="1">
        <f t="array" ref="F57">_xlfn.IFS(Table1[[#This Row],[age]]&gt;=50,"senior",Table1[[#This Row],[age]]&gt;20,"adult",Table1[[#This Row],[age]]&lt;=20,"teenager")</f>
        <v>teenager</v>
      </c>
      <c r="G57" s="3">
        <v>45445</v>
      </c>
      <c r="H57" s="1" t="str">
        <f>TEXT(Table1[[#This Row],[date]],"mmm")</f>
        <v>Jun</v>
      </c>
      <c r="I57" s="1" t="s">
        <v>673</v>
      </c>
      <c r="J57" s="1" t="s">
        <v>427</v>
      </c>
      <c r="K57" s="1" t="s">
        <v>36</v>
      </c>
      <c r="L57" s="1" t="s">
        <v>67</v>
      </c>
      <c r="M57" s="1" t="s">
        <v>40</v>
      </c>
      <c r="N57" s="1">
        <v>1</v>
      </c>
      <c r="O57" s="1" t="s">
        <v>17</v>
      </c>
      <c r="P57" s="1">
        <v>1540</v>
      </c>
      <c r="Q57" s="5" t="s">
        <v>18</v>
      </c>
      <c r="R57" s="11" t="s">
        <v>677</v>
      </c>
    </row>
    <row r="58" spans="1:18" x14ac:dyDescent="0.3">
      <c r="A58" s="4">
        <v>57</v>
      </c>
      <c r="B58" s="1" t="s">
        <v>126</v>
      </c>
      <c r="C58" s="1">
        <v>967894</v>
      </c>
      <c r="D58" s="1" t="s">
        <v>16</v>
      </c>
      <c r="E58" s="1">
        <v>20</v>
      </c>
      <c r="F58" s="1" t="str" cm="1">
        <f t="array" ref="F58">_xlfn.IFS(Table1[[#This Row],[age]]&gt;=50,"senior",Table1[[#This Row],[age]]&gt;20,"adult",Table1[[#This Row],[age]]&lt;=20,"teenager")</f>
        <v>teenager</v>
      </c>
      <c r="G58" s="3">
        <v>45446</v>
      </c>
      <c r="H58" s="1" t="str">
        <f>TEXT(Table1[[#This Row],[date]],"mmm")</f>
        <v>Jun</v>
      </c>
      <c r="I58" s="1" t="s">
        <v>673</v>
      </c>
      <c r="J58" s="1" t="s">
        <v>428</v>
      </c>
      <c r="K58" s="1" t="s">
        <v>36</v>
      </c>
      <c r="L58" s="1" t="s">
        <v>67</v>
      </c>
      <c r="M58" s="1" t="s">
        <v>40</v>
      </c>
      <c r="N58" s="1">
        <v>1</v>
      </c>
      <c r="O58" s="1" t="s">
        <v>17</v>
      </c>
      <c r="P58" s="1">
        <v>380</v>
      </c>
      <c r="Q58" s="5" t="s">
        <v>25</v>
      </c>
      <c r="R58" s="11" t="s">
        <v>677</v>
      </c>
    </row>
    <row r="59" spans="1:18" x14ac:dyDescent="0.3">
      <c r="A59" s="4">
        <v>58</v>
      </c>
      <c r="B59" s="1" t="s">
        <v>127</v>
      </c>
      <c r="C59" s="1">
        <v>979005</v>
      </c>
      <c r="D59" s="1" t="s">
        <v>16</v>
      </c>
      <c r="E59" s="1">
        <v>21</v>
      </c>
      <c r="F59" s="1" t="str" cm="1">
        <f t="array" ref="F59">_xlfn.IFS(Table1[[#This Row],[age]]&gt;=50,"senior",Table1[[#This Row],[age]]&gt;20,"adult",Table1[[#This Row],[age]]&lt;=20,"teenager")</f>
        <v>adult</v>
      </c>
      <c r="G59" s="3">
        <v>45447</v>
      </c>
      <c r="H59" s="1" t="str">
        <f>TEXT(Table1[[#This Row],[date]],"mmm")</f>
        <v>Jun</v>
      </c>
      <c r="I59" s="1" t="s">
        <v>673</v>
      </c>
      <c r="J59" s="1" t="s">
        <v>429</v>
      </c>
      <c r="K59" s="1" t="s">
        <v>39</v>
      </c>
      <c r="L59" s="1" t="s">
        <v>67</v>
      </c>
      <c r="M59" s="1" t="s">
        <v>40</v>
      </c>
      <c r="N59" s="1">
        <v>1</v>
      </c>
      <c r="O59" s="1" t="s">
        <v>17</v>
      </c>
      <c r="P59" s="1">
        <v>400</v>
      </c>
      <c r="Q59" s="5" t="s">
        <v>23</v>
      </c>
      <c r="R59" s="11" t="s">
        <v>677</v>
      </c>
    </row>
    <row r="60" spans="1:18" x14ac:dyDescent="0.3">
      <c r="A60" s="4">
        <v>59</v>
      </c>
      <c r="B60" s="1" t="s">
        <v>128</v>
      </c>
      <c r="C60" s="1">
        <v>990116</v>
      </c>
      <c r="D60" s="1" t="s">
        <v>16</v>
      </c>
      <c r="E60" s="1">
        <v>22</v>
      </c>
      <c r="F60" s="1" t="str" cm="1">
        <f t="array" ref="F60">_xlfn.IFS(Table1[[#This Row],[age]]&gt;=50,"senior",Table1[[#This Row],[age]]&gt;20,"adult",Table1[[#This Row],[age]]&lt;=20,"teenager")</f>
        <v>adult</v>
      </c>
      <c r="G60" s="3">
        <v>45448</v>
      </c>
      <c r="H60" s="1" t="str">
        <f>TEXT(Table1[[#This Row],[date]],"mmm")</f>
        <v>Jun</v>
      </c>
      <c r="I60" s="1" t="s">
        <v>673</v>
      </c>
      <c r="J60" s="1" t="s">
        <v>430</v>
      </c>
      <c r="K60" s="1" t="s">
        <v>39</v>
      </c>
      <c r="L60" s="1" t="s">
        <v>67</v>
      </c>
      <c r="M60" s="1" t="s">
        <v>40</v>
      </c>
      <c r="N60" s="1">
        <v>1</v>
      </c>
      <c r="O60" s="1" t="s">
        <v>17</v>
      </c>
      <c r="P60" s="1">
        <v>420</v>
      </c>
      <c r="Q60" s="5" t="s">
        <v>33</v>
      </c>
      <c r="R60" s="11" t="s">
        <v>677</v>
      </c>
    </row>
    <row r="61" spans="1:18" x14ac:dyDescent="0.3">
      <c r="A61" s="4">
        <v>60</v>
      </c>
      <c r="B61" s="1" t="s">
        <v>129</v>
      </c>
      <c r="C61" s="1">
        <v>1001227</v>
      </c>
      <c r="D61" s="1" t="s">
        <v>16</v>
      </c>
      <c r="E61" s="1">
        <v>23</v>
      </c>
      <c r="F61" s="1" t="str" cm="1">
        <f t="array" ref="F61">_xlfn.IFS(Table1[[#This Row],[age]]&gt;=50,"senior",Table1[[#This Row],[age]]&gt;20,"adult",Table1[[#This Row],[age]]&lt;=20,"teenager")</f>
        <v>adult</v>
      </c>
      <c r="G61" s="3">
        <v>45449</v>
      </c>
      <c r="H61" s="1" t="str">
        <f>TEXT(Table1[[#This Row],[date]],"mmm")</f>
        <v>Jun</v>
      </c>
      <c r="I61" s="1" t="s">
        <v>673</v>
      </c>
      <c r="J61" s="1" t="s">
        <v>431</v>
      </c>
      <c r="K61" s="1" t="s">
        <v>39</v>
      </c>
      <c r="L61" s="1" t="s">
        <v>67</v>
      </c>
      <c r="M61" s="1" t="s">
        <v>40</v>
      </c>
      <c r="N61" s="1">
        <v>1</v>
      </c>
      <c r="O61" s="1" t="s">
        <v>17</v>
      </c>
      <c r="P61" s="1">
        <v>440</v>
      </c>
      <c r="Q61" s="5" t="s">
        <v>23</v>
      </c>
      <c r="R61" s="11" t="s">
        <v>677</v>
      </c>
    </row>
    <row r="62" spans="1:18" x14ac:dyDescent="0.3">
      <c r="A62" s="4">
        <v>61</v>
      </c>
      <c r="B62" s="1" t="s">
        <v>130</v>
      </c>
      <c r="C62" s="1">
        <v>1012338</v>
      </c>
      <c r="D62" s="1" t="s">
        <v>16</v>
      </c>
      <c r="E62" s="1">
        <v>24</v>
      </c>
      <c r="F62" s="1" t="str" cm="1">
        <f t="array" ref="F62">_xlfn.IFS(Table1[[#This Row],[age]]&gt;=50,"senior",Table1[[#This Row],[age]]&gt;20,"adult",Table1[[#This Row],[age]]&lt;=20,"teenager")</f>
        <v>adult</v>
      </c>
      <c r="G62" s="3">
        <v>45450</v>
      </c>
      <c r="H62" s="1" t="str">
        <f>TEXT(Table1[[#This Row],[date]],"mmm")</f>
        <v>Jun</v>
      </c>
      <c r="I62" s="1" t="s">
        <v>673</v>
      </c>
      <c r="J62" s="1" t="s">
        <v>432</v>
      </c>
      <c r="K62" s="1" t="s">
        <v>50</v>
      </c>
      <c r="L62" s="1" t="s">
        <v>67</v>
      </c>
      <c r="M62" s="1" t="s">
        <v>46</v>
      </c>
      <c r="N62" s="1">
        <v>1</v>
      </c>
      <c r="O62" s="1" t="s">
        <v>17</v>
      </c>
      <c r="P62" s="1">
        <v>460</v>
      </c>
      <c r="Q62" s="5" t="s">
        <v>23</v>
      </c>
      <c r="R62" s="11" t="s">
        <v>677</v>
      </c>
    </row>
    <row r="63" spans="1:18" x14ac:dyDescent="0.3">
      <c r="A63" s="4">
        <v>62</v>
      </c>
      <c r="B63" s="1" t="s">
        <v>131</v>
      </c>
      <c r="C63" s="1">
        <v>1023449</v>
      </c>
      <c r="D63" s="1" t="s">
        <v>16</v>
      </c>
      <c r="E63" s="1">
        <v>25</v>
      </c>
      <c r="F63" s="1" t="str" cm="1">
        <f t="array" ref="F63">_xlfn.IFS(Table1[[#This Row],[age]]&gt;=50,"senior",Table1[[#This Row],[age]]&gt;20,"adult",Table1[[#This Row],[age]]&lt;=20,"teenager")</f>
        <v>adult</v>
      </c>
      <c r="G63" s="3">
        <v>45451</v>
      </c>
      <c r="H63" s="1" t="str">
        <f>TEXT(Table1[[#This Row],[date]],"mmm")</f>
        <v>Jun</v>
      </c>
      <c r="I63" s="1" t="s">
        <v>673</v>
      </c>
      <c r="J63" s="1" t="s">
        <v>433</v>
      </c>
      <c r="K63" s="1" t="s">
        <v>36</v>
      </c>
      <c r="L63" s="1" t="s">
        <v>66</v>
      </c>
      <c r="M63" s="1" t="s">
        <v>40</v>
      </c>
      <c r="N63" s="1">
        <v>1</v>
      </c>
      <c r="O63" s="1" t="s">
        <v>17</v>
      </c>
      <c r="P63" s="1">
        <v>480</v>
      </c>
      <c r="Q63" s="5" t="s">
        <v>23</v>
      </c>
      <c r="R63" s="11" t="s">
        <v>677</v>
      </c>
    </row>
    <row r="64" spans="1:18" x14ac:dyDescent="0.3">
      <c r="A64" s="4">
        <v>63</v>
      </c>
      <c r="B64" s="1" t="s">
        <v>132</v>
      </c>
      <c r="C64" s="1">
        <v>1034560</v>
      </c>
      <c r="D64" s="1" t="s">
        <v>16</v>
      </c>
      <c r="E64" s="1">
        <v>26</v>
      </c>
      <c r="F64" s="1" t="str" cm="1">
        <f t="array" ref="F64">_xlfn.IFS(Table1[[#This Row],[age]]&gt;=50,"senior",Table1[[#This Row],[age]]&gt;20,"adult",Table1[[#This Row],[age]]&lt;=20,"teenager")</f>
        <v>adult</v>
      </c>
      <c r="G64" s="3">
        <v>45452</v>
      </c>
      <c r="H64" s="1" t="str">
        <f>TEXT(Table1[[#This Row],[date]],"mmm")</f>
        <v>Jun</v>
      </c>
      <c r="I64" s="1" t="s">
        <v>673</v>
      </c>
      <c r="J64" s="1" t="s">
        <v>434</v>
      </c>
      <c r="K64" s="1" t="s">
        <v>36</v>
      </c>
      <c r="L64" s="1" t="s">
        <v>66</v>
      </c>
      <c r="M64" s="1" t="s">
        <v>45</v>
      </c>
      <c r="N64" s="1">
        <v>1</v>
      </c>
      <c r="O64" s="1" t="s">
        <v>17</v>
      </c>
      <c r="P64" s="1">
        <v>500</v>
      </c>
      <c r="Q64" s="5" t="s">
        <v>25</v>
      </c>
      <c r="R64" s="11" t="s">
        <v>677</v>
      </c>
    </row>
    <row r="65" spans="1:18" x14ac:dyDescent="0.3">
      <c r="A65" s="4">
        <v>64</v>
      </c>
      <c r="B65" s="1" t="s">
        <v>133</v>
      </c>
      <c r="C65" s="1">
        <v>1045671</v>
      </c>
      <c r="D65" s="1" t="s">
        <v>16</v>
      </c>
      <c r="E65" s="1">
        <v>27</v>
      </c>
      <c r="F65" s="1" t="str" cm="1">
        <f t="array" ref="F65">_xlfn.IFS(Table1[[#This Row],[age]]&gt;=50,"senior",Table1[[#This Row],[age]]&gt;20,"adult",Table1[[#This Row],[age]]&lt;=20,"teenager")</f>
        <v>adult</v>
      </c>
      <c r="G65" s="3">
        <v>45453</v>
      </c>
      <c r="H65" s="1" t="str">
        <f>TEXT(Table1[[#This Row],[date]],"mmm")</f>
        <v>Jun</v>
      </c>
      <c r="I65" s="1" t="s">
        <v>673</v>
      </c>
      <c r="J65" s="1" t="s">
        <v>435</v>
      </c>
      <c r="K65" s="1" t="s">
        <v>36</v>
      </c>
      <c r="L65" s="1" t="s">
        <v>66</v>
      </c>
      <c r="M65" s="1" t="s">
        <v>46</v>
      </c>
      <c r="N65" s="1">
        <v>1</v>
      </c>
      <c r="O65" s="1" t="s">
        <v>17</v>
      </c>
      <c r="P65" s="1">
        <v>450</v>
      </c>
      <c r="Q65" s="5" t="s">
        <v>33</v>
      </c>
      <c r="R65" s="11" t="s">
        <v>677</v>
      </c>
    </row>
    <row r="66" spans="1:18" x14ac:dyDescent="0.3">
      <c r="A66" s="4">
        <v>65</v>
      </c>
      <c r="B66" s="1" t="s">
        <v>134</v>
      </c>
      <c r="C66" s="1">
        <v>1056782</v>
      </c>
      <c r="D66" s="1" t="s">
        <v>16</v>
      </c>
      <c r="E66" s="1">
        <v>28</v>
      </c>
      <c r="F66" s="1" t="str" cm="1">
        <f t="array" ref="F66">_xlfn.IFS(Table1[[#This Row],[age]]&gt;=50,"senior",Table1[[#This Row],[age]]&gt;20,"adult",Table1[[#This Row],[age]]&lt;=20,"teenager")</f>
        <v>adult</v>
      </c>
      <c r="G66" s="3">
        <v>45454</v>
      </c>
      <c r="H66" s="1" t="str">
        <f>TEXT(Table1[[#This Row],[date]],"mmm")</f>
        <v>Jun</v>
      </c>
      <c r="I66" s="1" t="s">
        <v>673</v>
      </c>
      <c r="J66" s="1" t="s">
        <v>436</v>
      </c>
      <c r="K66" s="1" t="s">
        <v>36</v>
      </c>
      <c r="L66" s="1" t="s">
        <v>66</v>
      </c>
      <c r="M66" s="1" t="s">
        <v>43</v>
      </c>
      <c r="N66" s="1">
        <v>1</v>
      </c>
      <c r="O66" s="1" t="s">
        <v>17</v>
      </c>
      <c r="P66" s="1">
        <v>500</v>
      </c>
      <c r="Q66" s="5" t="s">
        <v>33</v>
      </c>
      <c r="R66" s="11" t="s">
        <v>677</v>
      </c>
    </row>
    <row r="67" spans="1:18" x14ac:dyDescent="0.3">
      <c r="A67" s="4">
        <v>66</v>
      </c>
      <c r="B67" s="1" t="s">
        <v>135</v>
      </c>
      <c r="C67" s="1">
        <v>1067893</v>
      </c>
      <c r="D67" s="1" t="s">
        <v>16</v>
      </c>
      <c r="E67" s="1">
        <v>29</v>
      </c>
      <c r="F67" s="1" t="str" cm="1">
        <f t="array" ref="F67">_xlfn.IFS(Table1[[#This Row],[age]]&gt;=50,"senior",Table1[[#This Row],[age]]&gt;20,"adult",Table1[[#This Row],[age]]&lt;=20,"teenager")</f>
        <v>adult</v>
      </c>
      <c r="G67" s="3">
        <v>45455</v>
      </c>
      <c r="H67" s="1" t="str">
        <f>TEXT(Table1[[#This Row],[date]],"mmm")</f>
        <v>Jun</v>
      </c>
      <c r="I67" s="1" t="s">
        <v>673</v>
      </c>
      <c r="J67" s="1" t="s">
        <v>437</v>
      </c>
      <c r="K67" s="1" t="s">
        <v>39</v>
      </c>
      <c r="L67" s="1" t="s">
        <v>66</v>
      </c>
      <c r="M67" s="1" t="s">
        <v>42</v>
      </c>
      <c r="N67" s="1">
        <v>1</v>
      </c>
      <c r="O67" s="1" t="s">
        <v>17</v>
      </c>
      <c r="P67" s="1">
        <v>550</v>
      </c>
      <c r="Q67" s="5" t="s">
        <v>33</v>
      </c>
      <c r="R67" s="11" t="s">
        <v>677</v>
      </c>
    </row>
    <row r="68" spans="1:18" x14ac:dyDescent="0.3">
      <c r="A68" s="4">
        <v>67</v>
      </c>
      <c r="B68" s="1" t="s">
        <v>136</v>
      </c>
      <c r="C68" s="1">
        <v>1079004</v>
      </c>
      <c r="D68" s="1" t="s">
        <v>16</v>
      </c>
      <c r="E68" s="1">
        <v>30</v>
      </c>
      <c r="F68" s="1" t="str" cm="1">
        <f t="array" ref="F68">_xlfn.IFS(Table1[[#This Row],[age]]&gt;=50,"senior",Table1[[#This Row],[age]]&gt;20,"adult",Table1[[#This Row],[age]]&lt;=20,"teenager")</f>
        <v>adult</v>
      </c>
      <c r="G68" s="3">
        <v>45456</v>
      </c>
      <c r="H68" s="1" t="str">
        <f>TEXT(Table1[[#This Row],[date]],"mmm")</f>
        <v>Jun</v>
      </c>
      <c r="I68" s="1" t="s">
        <v>673</v>
      </c>
      <c r="J68" s="1" t="s">
        <v>438</v>
      </c>
      <c r="K68" s="1" t="s">
        <v>37</v>
      </c>
      <c r="L68" s="1" t="s">
        <v>55</v>
      </c>
      <c r="M68" s="1" t="s">
        <v>42</v>
      </c>
      <c r="N68" s="1">
        <v>1</v>
      </c>
      <c r="O68" s="1" t="s">
        <v>17</v>
      </c>
      <c r="P68" s="1">
        <v>600</v>
      </c>
      <c r="Q68" s="5" t="s">
        <v>23</v>
      </c>
      <c r="R68" s="11" t="s">
        <v>677</v>
      </c>
    </row>
    <row r="69" spans="1:18" x14ac:dyDescent="0.3">
      <c r="A69" s="4">
        <v>68</v>
      </c>
      <c r="B69" s="1" t="s">
        <v>137</v>
      </c>
      <c r="C69" s="1">
        <v>1090115</v>
      </c>
      <c r="D69" s="1" t="s">
        <v>16</v>
      </c>
      <c r="E69" s="1">
        <v>31</v>
      </c>
      <c r="F69" s="1" t="str" cm="1">
        <f t="array" ref="F69">_xlfn.IFS(Table1[[#This Row],[age]]&gt;=50,"senior",Table1[[#This Row],[age]]&gt;20,"adult",Table1[[#This Row],[age]]&lt;=20,"teenager")</f>
        <v>adult</v>
      </c>
      <c r="G69" s="3">
        <v>45457</v>
      </c>
      <c r="H69" s="1" t="str">
        <f>TEXT(Table1[[#This Row],[date]],"mmm")</f>
        <v>Jun</v>
      </c>
      <c r="I69" s="1" t="s">
        <v>673</v>
      </c>
      <c r="J69" s="1" t="s">
        <v>439</v>
      </c>
      <c r="K69" s="1" t="s">
        <v>37</v>
      </c>
      <c r="L69" s="1" t="s">
        <v>55</v>
      </c>
      <c r="M69" s="1" t="s">
        <v>42</v>
      </c>
      <c r="N69" s="1">
        <v>1</v>
      </c>
      <c r="O69" s="1" t="s">
        <v>17</v>
      </c>
      <c r="P69" s="1">
        <v>650</v>
      </c>
      <c r="Q69" s="5" t="s">
        <v>23</v>
      </c>
      <c r="R69" s="11" t="s">
        <v>677</v>
      </c>
    </row>
    <row r="70" spans="1:18" x14ac:dyDescent="0.3">
      <c r="A70" s="4">
        <v>69</v>
      </c>
      <c r="B70" s="1" t="s">
        <v>138</v>
      </c>
      <c r="C70" s="1">
        <v>1101226</v>
      </c>
      <c r="D70" s="1" t="s">
        <v>16</v>
      </c>
      <c r="E70" s="1">
        <v>32</v>
      </c>
      <c r="F70" s="1" t="str" cm="1">
        <f t="array" ref="F70">_xlfn.IFS(Table1[[#This Row],[age]]&gt;=50,"senior",Table1[[#This Row],[age]]&gt;20,"adult",Table1[[#This Row],[age]]&lt;=20,"teenager")</f>
        <v>adult</v>
      </c>
      <c r="G70" s="3">
        <v>45458</v>
      </c>
      <c r="H70" s="1" t="str">
        <f>TEXT(Table1[[#This Row],[date]],"mmm")</f>
        <v>Jun</v>
      </c>
      <c r="I70" s="1" t="s">
        <v>673</v>
      </c>
      <c r="J70" s="1" t="s">
        <v>440</v>
      </c>
      <c r="K70" s="1" t="s">
        <v>37</v>
      </c>
      <c r="L70" s="1" t="s">
        <v>55</v>
      </c>
      <c r="M70" s="1" t="s">
        <v>41</v>
      </c>
      <c r="N70" s="1">
        <v>1</v>
      </c>
      <c r="O70" s="1" t="s">
        <v>17</v>
      </c>
      <c r="P70" s="1">
        <v>1200</v>
      </c>
      <c r="Q70" s="5" t="s">
        <v>23</v>
      </c>
      <c r="R70" s="11" t="s">
        <v>677</v>
      </c>
    </row>
    <row r="71" spans="1:18" x14ac:dyDescent="0.3">
      <c r="A71" s="4">
        <v>70</v>
      </c>
      <c r="B71" s="1" t="s">
        <v>139</v>
      </c>
      <c r="C71" s="1">
        <v>1112337</v>
      </c>
      <c r="D71" s="1" t="s">
        <v>16</v>
      </c>
      <c r="E71" s="1">
        <v>33</v>
      </c>
      <c r="F71" s="1" t="str" cm="1">
        <f t="array" ref="F71">_xlfn.IFS(Table1[[#This Row],[age]]&gt;=50,"senior",Table1[[#This Row],[age]]&gt;20,"adult",Table1[[#This Row],[age]]&lt;=20,"teenager")</f>
        <v>adult</v>
      </c>
      <c r="G71" s="3">
        <v>45459</v>
      </c>
      <c r="H71" s="1" t="str">
        <f>TEXT(Table1[[#This Row],[date]],"mmm")</f>
        <v>Jun</v>
      </c>
      <c r="I71" s="1" t="s">
        <v>673</v>
      </c>
      <c r="J71" s="1" t="s">
        <v>441</v>
      </c>
      <c r="K71" s="1" t="s">
        <v>37</v>
      </c>
      <c r="L71" s="1" t="s">
        <v>55</v>
      </c>
      <c r="M71" s="1" t="s">
        <v>45</v>
      </c>
      <c r="N71" s="1">
        <v>1</v>
      </c>
      <c r="O71" s="1" t="s">
        <v>17</v>
      </c>
      <c r="P71" s="1">
        <v>1330</v>
      </c>
      <c r="Q71" s="5" t="s">
        <v>18</v>
      </c>
      <c r="R71" s="11" t="s">
        <v>677</v>
      </c>
    </row>
    <row r="72" spans="1:18" x14ac:dyDescent="0.3">
      <c r="A72" s="4">
        <v>71</v>
      </c>
      <c r="B72" s="1" t="s">
        <v>140</v>
      </c>
      <c r="C72" s="1">
        <v>1123448</v>
      </c>
      <c r="D72" s="1" t="s">
        <v>16</v>
      </c>
      <c r="E72" s="1">
        <v>22</v>
      </c>
      <c r="F72" s="1" t="str" cm="1">
        <f t="array" ref="F72">_xlfn.IFS(Table1[[#This Row],[age]]&gt;=50,"senior",Table1[[#This Row],[age]]&gt;20,"adult",Table1[[#This Row],[age]]&lt;=20,"teenager")</f>
        <v>adult</v>
      </c>
      <c r="G72" s="3">
        <v>45460</v>
      </c>
      <c r="H72" s="1" t="str">
        <f>TEXT(Table1[[#This Row],[date]],"mmm")</f>
        <v>Jun</v>
      </c>
      <c r="I72" s="1" t="s">
        <v>673</v>
      </c>
      <c r="J72" s="1" t="s">
        <v>442</v>
      </c>
      <c r="K72" s="1" t="s">
        <v>37</v>
      </c>
      <c r="L72" s="1" t="s">
        <v>55</v>
      </c>
      <c r="M72" s="1" t="s">
        <v>45</v>
      </c>
      <c r="N72" s="1">
        <v>1</v>
      </c>
      <c r="O72" s="1" t="s">
        <v>17</v>
      </c>
      <c r="P72" s="1">
        <v>1460</v>
      </c>
      <c r="Q72" s="5" t="s">
        <v>19</v>
      </c>
      <c r="R72" s="11" t="s">
        <v>677</v>
      </c>
    </row>
    <row r="73" spans="1:18" x14ac:dyDescent="0.3">
      <c r="A73" s="4">
        <v>72</v>
      </c>
      <c r="B73" s="1" t="s">
        <v>141</v>
      </c>
      <c r="C73" s="1">
        <v>1134559</v>
      </c>
      <c r="D73" s="1" t="s">
        <v>16</v>
      </c>
      <c r="E73" s="1">
        <v>24</v>
      </c>
      <c r="F73" s="1" t="str" cm="1">
        <f t="array" ref="F73">_xlfn.IFS(Table1[[#This Row],[age]]&gt;=50,"senior",Table1[[#This Row],[age]]&gt;20,"adult",Table1[[#This Row],[age]]&lt;=20,"teenager")</f>
        <v>adult</v>
      </c>
      <c r="G73" s="3">
        <v>45461</v>
      </c>
      <c r="H73" s="1" t="str">
        <f>TEXT(Table1[[#This Row],[date]],"mmm")</f>
        <v>Jun</v>
      </c>
      <c r="I73" s="1" t="s">
        <v>673</v>
      </c>
      <c r="J73" s="1" t="s">
        <v>443</v>
      </c>
      <c r="K73" s="1" t="s">
        <v>37</v>
      </c>
      <c r="L73" s="1" t="s">
        <v>64</v>
      </c>
      <c r="M73" s="1" t="s">
        <v>45</v>
      </c>
      <c r="N73" s="1">
        <v>1</v>
      </c>
      <c r="O73" s="1" t="s">
        <v>17</v>
      </c>
      <c r="P73" s="1">
        <v>499</v>
      </c>
      <c r="Q73" s="5" t="s">
        <v>18</v>
      </c>
      <c r="R73" s="11" t="s">
        <v>677</v>
      </c>
    </row>
    <row r="74" spans="1:18" x14ac:dyDescent="0.3">
      <c r="A74" s="4">
        <v>73</v>
      </c>
      <c r="B74" s="1" t="s">
        <v>142</v>
      </c>
      <c r="C74" s="1">
        <v>1145670</v>
      </c>
      <c r="D74" s="1" t="s">
        <v>16</v>
      </c>
      <c r="E74" s="1">
        <v>26</v>
      </c>
      <c r="F74" s="1" t="str" cm="1">
        <f t="array" ref="F74">_xlfn.IFS(Table1[[#This Row],[age]]&gt;=50,"senior",Table1[[#This Row],[age]]&gt;20,"adult",Table1[[#This Row],[age]]&lt;=20,"teenager")</f>
        <v>adult</v>
      </c>
      <c r="G74" s="3">
        <v>45462</v>
      </c>
      <c r="H74" s="1" t="str">
        <f>TEXT(Table1[[#This Row],[date]],"mmm")</f>
        <v>Jun</v>
      </c>
      <c r="I74" s="1" t="s">
        <v>673</v>
      </c>
      <c r="J74" s="1" t="s">
        <v>444</v>
      </c>
      <c r="K74" s="1" t="s">
        <v>37</v>
      </c>
      <c r="L74" s="1" t="s">
        <v>64</v>
      </c>
      <c r="M74" s="1" t="s">
        <v>40</v>
      </c>
      <c r="N74" s="1">
        <v>1</v>
      </c>
      <c r="O74" s="1" t="s">
        <v>17</v>
      </c>
      <c r="P74" s="1">
        <v>500</v>
      </c>
      <c r="Q74" s="5" t="s">
        <v>30</v>
      </c>
      <c r="R74" s="11" t="s">
        <v>677</v>
      </c>
    </row>
    <row r="75" spans="1:18" x14ac:dyDescent="0.3">
      <c r="A75" s="4">
        <v>74</v>
      </c>
      <c r="B75" s="1" t="s">
        <v>143</v>
      </c>
      <c r="C75" s="1">
        <v>1156781</v>
      </c>
      <c r="D75" s="1" t="s">
        <v>16</v>
      </c>
      <c r="E75" s="1">
        <v>28</v>
      </c>
      <c r="F75" s="1" t="str" cm="1">
        <f t="array" ref="F75">_xlfn.IFS(Table1[[#This Row],[age]]&gt;=50,"senior",Table1[[#This Row],[age]]&gt;20,"adult",Table1[[#This Row],[age]]&lt;=20,"teenager")</f>
        <v>adult</v>
      </c>
      <c r="G75" s="3">
        <v>45463</v>
      </c>
      <c r="H75" s="1" t="str">
        <f>TEXT(Table1[[#This Row],[date]],"mmm")</f>
        <v>Jun</v>
      </c>
      <c r="I75" s="1" t="s">
        <v>673</v>
      </c>
      <c r="J75" s="1" t="s">
        <v>445</v>
      </c>
      <c r="K75" s="1" t="s">
        <v>37</v>
      </c>
      <c r="L75" s="1" t="s">
        <v>64</v>
      </c>
      <c r="M75" s="1" t="s">
        <v>40</v>
      </c>
      <c r="N75" s="1">
        <v>1</v>
      </c>
      <c r="O75" s="1" t="s">
        <v>17</v>
      </c>
      <c r="P75" s="1">
        <v>560</v>
      </c>
      <c r="Q75" s="5" t="s">
        <v>27</v>
      </c>
      <c r="R75" s="11" t="s">
        <v>677</v>
      </c>
    </row>
    <row r="76" spans="1:18" x14ac:dyDescent="0.3">
      <c r="A76" s="4">
        <v>75</v>
      </c>
      <c r="B76" s="1" t="s">
        <v>144</v>
      </c>
      <c r="C76" s="1">
        <v>1167892</v>
      </c>
      <c r="D76" s="1" t="s">
        <v>16</v>
      </c>
      <c r="E76" s="1">
        <v>30</v>
      </c>
      <c r="F76" s="1" t="str" cm="1">
        <f t="array" ref="F76">_xlfn.IFS(Table1[[#This Row],[age]]&gt;=50,"senior",Table1[[#This Row],[age]]&gt;20,"adult",Table1[[#This Row],[age]]&lt;=20,"teenager")</f>
        <v>adult</v>
      </c>
      <c r="G76" s="3">
        <v>45464</v>
      </c>
      <c r="H76" s="1" t="str">
        <f>TEXT(Table1[[#This Row],[date]],"mmm")</f>
        <v>Jun</v>
      </c>
      <c r="I76" s="1" t="s">
        <v>673</v>
      </c>
      <c r="J76" s="1" t="s">
        <v>446</v>
      </c>
      <c r="K76" s="1" t="s">
        <v>38</v>
      </c>
      <c r="L76" s="1" t="s">
        <v>64</v>
      </c>
      <c r="M76" s="1" t="s">
        <v>41</v>
      </c>
      <c r="N76" s="1">
        <v>1</v>
      </c>
      <c r="O76" s="1" t="s">
        <v>17</v>
      </c>
      <c r="P76" s="1">
        <v>620</v>
      </c>
      <c r="Q76" s="5" t="s">
        <v>18</v>
      </c>
      <c r="R76" s="11" t="s">
        <v>677</v>
      </c>
    </row>
    <row r="77" spans="1:18" x14ac:dyDescent="0.3">
      <c r="A77" s="4">
        <v>76</v>
      </c>
      <c r="B77" s="1" t="s">
        <v>145</v>
      </c>
      <c r="C77" s="1">
        <v>1179003</v>
      </c>
      <c r="D77" s="1" t="s">
        <v>16</v>
      </c>
      <c r="E77" s="1">
        <v>32</v>
      </c>
      <c r="F77" s="1" t="str" cm="1">
        <f t="array" ref="F77">_xlfn.IFS(Table1[[#This Row],[age]]&gt;=50,"senior",Table1[[#This Row],[age]]&gt;20,"adult",Table1[[#This Row],[age]]&lt;=20,"teenager")</f>
        <v>adult</v>
      </c>
      <c r="G77" s="3">
        <v>45465</v>
      </c>
      <c r="H77" s="1" t="str">
        <f>TEXT(Table1[[#This Row],[date]],"mmm")</f>
        <v>Jun</v>
      </c>
      <c r="I77" s="1" t="s">
        <v>673</v>
      </c>
      <c r="J77" s="1" t="s">
        <v>447</v>
      </c>
      <c r="K77" s="1" t="s">
        <v>38</v>
      </c>
      <c r="L77" s="1" t="s">
        <v>64</v>
      </c>
      <c r="M77" s="1" t="s">
        <v>41</v>
      </c>
      <c r="N77" s="1">
        <v>1</v>
      </c>
      <c r="O77" s="1" t="s">
        <v>17</v>
      </c>
      <c r="P77" s="1">
        <v>680</v>
      </c>
      <c r="Q77" s="5" t="s">
        <v>27</v>
      </c>
      <c r="R77" s="11" t="s">
        <v>677</v>
      </c>
    </row>
    <row r="78" spans="1:18" x14ac:dyDescent="0.3">
      <c r="A78" s="4">
        <v>77</v>
      </c>
      <c r="B78" s="1" t="s">
        <v>146</v>
      </c>
      <c r="C78" s="1">
        <v>1190114</v>
      </c>
      <c r="D78" s="1" t="s">
        <v>16</v>
      </c>
      <c r="E78" s="1">
        <v>34</v>
      </c>
      <c r="F78" s="1" t="str" cm="1">
        <f t="array" ref="F78">_xlfn.IFS(Table1[[#This Row],[age]]&gt;=50,"senior",Table1[[#This Row],[age]]&gt;20,"adult",Table1[[#This Row],[age]]&lt;=20,"teenager")</f>
        <v>adult</v>
      </c>
      <c r="G78" s="3">
        <v>45466</v>
      </c>
      <c r="H78" s="1" t="str">
        <f>TEXT(Table1[[#This Row],[date]],"mmm")</f>
        <v>Jun</v>
      </c>
      <c r="I78" s="1" t="s">
        <v>673</v>
      </c>
      <c r="J78" s="1" t="s">
        <v>448</v>
      </c>
      <c r="K78" s="1" t="s">
        <v>38</v>
      </c>
      <c r="L78" s="1" t="s">
        <v>59</v>
      </c>
      <c r="M78" s="1" t="s">
        <v>41</v>
      </c>
      <c r="N78" s="1">
        <v>1</v>
      </c>
      <c r="O78" s="1" t="s">
        <v>17</v>
      </c>
      <c r="P78" s="1">
        <v>740</v>
      </c>
      <c r="Q78" s="5" t="s">
        <v>30</v>
      </c>
      <c r="R78" s="11" t="s">
        <v>677</v>
      </c>
    </row>
    <row r="79" spans="1:18" x14ac:dyDescent="0.3">
      <c r="A79" s="4">
        <v>78</v>
      </c>
      <c r="B79" s="1" t="s">
        <v>147</v>
      </c>
      <c r="C79" s="1">
        <v>1201225</v>
      </c>
      <c r="D79" s="1" t="s">
        <v>16</v>
      </c>
      <c r="E79" s="1">
        <v>36</v>
      </c>
      <c r="F79" s="1" t="str" cm="1">
        <f t="array" ref="F79">_xlfn.IFS(Table1[[#This Row],[age]]&gt;=50,"senior",Table1[[#This Row],[age]]&gt;20,"adult",Table1[[#This Row],[age]]&lt;=20,"teenager")</f>
        <v>adult</v>
      </c>
      <c r="G79" s="3">
        <v>45467</v>
      </c>
      <c r="H79" s="1" t="str">
        <f>TEXT(Table1[[#This Row],[date]],"mmm")</f>
        <v>Jun</v>
      </c>
      <c r="I79" s="1" t="s">
        <v>673</v>
      </c>
      <c r="J79" s="1" t="s">
        <v>449</v>
      </c>
      <c r="K79" s="1" t="s">
        <v>48</v>
      </c>
      <c r="L79" s="1" t="s">
        <v>60</v>
      </c>
      <c r="M79" s="1" t="s">
        <v>41</v>
      </c>
      <c r="N79" s="1">
        <v>1</v>
      </c>
      <c r="O79" s="1" t="s">
        <v>17</v>
      </c>
      <c r="P79" s="1">
        <v>800</v>
      </c>
      <c r="Q79" s="5" t="s">
        <v>19</v>
      </c>
      <c r="R79" s="11" t="s">
        <v>677</v>
      </c>
    </row>
    <row r="80" spans="1:18" x14ac:dyDescent="0.3">
      <c r="A80" s="4">
        <v>79</v>
      </c>
      <c r="B80" s="1" t="s">
        <v>148</v>
      </c>
      <c r="C80" s="1">
        <v>1212336</v>
      </c>
      <c r="D80" s="1" t="s">
        <v>16</v>
      </c>
      <c r="E80" s="1">
        <v>38</v>
      </c>
      <c r="F80" s="1" t="str" cm="1">
        <f t="array" ref="F80">_xlfn.IFS(Table1[[#This Row],[age]]&gt;=50,"senior",Table1[[#This Row],[age]]&gt;20,"adult",Table1[[#This Row],[age]]&lt;=20,"teenager")</f>
        <v>adult</v>
      </c>
      <c r="G80" s="3">
        <v>45468</v>
      </c>
      <c r="H80" s="1" t="str">
        <f>TEXT(Table1[[#This Row],[date]],"mmm")</f>
        <v>Jun</v>
      </c>
      <c r="I80" s="1" t="s">
        <v>673</v>
      </c>
      <c r="J80" s="1" t="s">
        <v>450</v>
      </c>
      <c r="K80" s="1" t="s">
        <v>48</v>
      </c>
      <c r="L80" s="1" t="s">
        <v>60</v>
      </c>
      <c r="M80" s="1" t="s">
        <v>41</v>
      </c>
      <c r="N80" s="1">
        <v>1</v>
      </c>
      <c r="O80" s="1" t="s">
        <v>17</v>
      </c>
      <c r="P80" s="1">
        <v>860</v>
      </c>
      <c r="Q80" s="5" t="s">
        <v>19</v>
      </c>
      <c r="R80" s="11" t="s">
        <v>677</v>
      </c>
    </row>
    <row r="81" spans="1:18" x14ac:dyDescent="0.3">
      <c r="A81" s="4">
        <v>80</v>
      </c>
      <c r="B81" s="1" t="s">
        <v>149</v>
      </c>
      <c r="C81" s="1">
        <v>1223447</v>
      </c>
      <c r="D81" s="1" t="s">
        <v>16</v>
      </c>
      <c r="E81" s="1">
        <v>40</v>
      </c>
      <c r="F81" s="1" t="str" cm="1">
        <f t="array" ref="F81">_xlfn.IFS(Table1[[#This Row],[age]]&gt;=50,"senior",Table1[[#This Row],[age]]&gt;20,"adult",Table1[[#This Row],[age]]&lt;=20,"teenager")</f>
        <v>adult</v>
      </c>
      <c r="G81" s="3">
        <v>45469</v>
      </c>
      <c r="H81" s="1" t="str">
        <f>TEXT(Table1[[#This Row],[date]],"mmm")</f>
        <v>Jun</v>
      </c>
      <c r="I81" s="1" t="s">
        <v>673</v>
      </c>
      <c r="J81" s="1" t="s">
        <v>451</v>
      </c>
      <c r="K81" s="1" t="s">
        <v>48</v>
      </c>
      <c r="L81" s="1" t="s">
        <v>60</v>
      </c>
      <c r="M81" s="1" t="s">
        <v>42</v>
      </c>
      <c r="N81" s="1">
        <v>1</v>
      </c>
      <c r="O81" s="1" t="s">
        <v>17</v>
      </c>
      <c r="P81" s="1">
        <v>920</v>
      </c>
      <c r="Q81" s="5" t="s">
        <v>19</v>
      </c>
      <c r="R81" s="11" t="s">
        <v>677</v>
      </c>
    </row>
    <row r="82" spans="1:18" x14ac:dyDescent="0.3">
      <c r="A82" s="4">
        <v>81</v>
      </c>
      <c r="B82" s="1" t="s">
        <v>150</v>
      </c>
      <c r="C82" s="1">
        <v>1234558</v>
      </c>
      <c r="D82" s="1" t="s">
        <v>16</v>
      </c>
      <c r="E82" s="1">
        <v>41</v>
      </c>
      <c r="F82" s="1" t="str" cm="1">
        <f t="array" ref="F82">_xlfn.IFS(Table1[[#This Row],[age]]&gt;=50,"senior",Table1[[#This Row],[age]]&gt;20,"adult",Table1[[#This Row],[age]]&lt;=20,"teenager")</f>
        <v>adult</v>
      </c>
      <c r="G82" s="3">
        <v>45470</v>
      </c>
      <c r="H82" s="1" t="str">
        <f>TEXT(Table1[[#This Row],[date]],"mmm")</f>
        <v>Jun</v>
      </c>
      <c r="I82" s="1" t="s">
        <v>673</v>
      </c>
      <c r="J82" s="1" t="s">
        <v>452</v>
      </c>
      <c r="K82" s="1" t="s">
        <v>50</v>
      </c>
      <c r="L82" s="1" t="s">
        <v>60</v>
      </c>
      <c r="M82" s="1" t="s">
        <v>42</v>
      </c>
      <c r="N82" s="1">
        <v>1</v>
      </c>
      <c r="O82" s="1" t="s">
        <v>17</v>
      </c>
      <c r="P82" s="1">
        <v>980</v>
      </c>
      <c r="Q82" s="5" t="s">
        <v>19</v>
      </c>
      <c r="R82" s="11" t="s">
        <v>677</v>
      </c>
    </row>
    <row r="83" spans="1:18" x14ac:dyDescent="0.3">
      <c r="A83" s="4">
        <v>82</v>
      </c>
      <c r="B83" s="1" t="s">
        <v>151</v>
      </c>
      <c r="C83" s="1">
        <v>1245669</v>
      </c>
      <c r="D83" s="1" t="s">
        <v>16</v>
      </c>
      <c r="E83" s="1">
        <v>42</v>
      </c>
      <c r="F83" s="1" t="str" cm="1">
        <f t="array" ref="F83">_xlfn.IFS(Table1[[#This Row],[age]]&gt;=50,"senior",Table1[[#This Row],[age]]&gt;20,"adult",Table1[[#This Row],[age]]&lt;=20,"teenager")</f>
        <v>adult</v>
      </c>
      <c r="G83" s="3">
        <v>45471</v>
      </c>
      <c r="H83" s="1" t="str">
        <f>TEXT(Table1[[#This Row],[date]],"mmm")</f>
        <v>Jun</v>
      </c>
      <c r="I83" s="1" t="s">
        <v>673</v>
      </c>
      <c r="J83" s="1" t="s">
        <v>453</v>
      </c>
      <c r="K83" s="1" t="s">
        <v>50</v>
      </c>
      <c r="L83" s="1" t="s">
        <v>60</v>
      </c>
      <c r="M83" s="1" t="s">
        <v>42</v>
      </c>
      <c r="N83" s="1">
        <v>1</v>
      </c>
      <c r="O83" s="1" t="s">
        <v>17</v>
      </c>
      <c r="P83" s="1">
        <v>1040</v>
      </c>
      <c r="Q83" s="5" t="s">
        <v>19</v>
      </c>
      <c r="R83" s="11" t="s">
        <v>677</v>
      </c>
    </row>
    <row r="84" spans="1:18" x14ac:dyDescent="0.3">
      <c r="A84" s="4">
        <v>83</v>
      </c>
      <c r="B84" s="1" t="s">
        <v>152</v>
      </c>
      <c r="C84" s="1">
        <v>1256780</v>
      </c>
      <c r="D84" s="1" t="s">
        <v>16</v>
      </c>
      <c r="E84" s="1">
        <v>43</v>
      </c>
      <c r="F84" s="1" t="str" cm="1">
        <f t="array" ref="F84">_xlfn.IFS(Table1[[#This Row],[age]]&gt;=50,"senior",Table1[[#This Row],[age]]&gt;20,"adult",Table1[[#This Row],[age]]&lt;=20,"teenager")</f>
        <v>adult</v>
      </c>
      <c r="G84" s="3">
        <v>45472</v>
      </c>
      <c r="H84" s="1" t="str">
        <f>TEXT(Table1[[#This Row],[date]],"mmm")</f>
        <v>Jun</v>
      </c>
      <c r="I84" s="1" t="s">
        <v>673</v>
      </c>
      <c r="J84" s="1" t="s">
        <v>454</v>
      </c>
      <c r="K84" s="1" t="s">
        <v>50</v>
      </c>
      <c r="L84" s="1" t="s">
        <v>64</v>
      </c>
      <c r="M84" s="1" t="s">
        <v>42</v>
      </c>
      <c r="N84" s="1">
        <v>1</v>
      </c>
      <c r="O84" s="1" t="s">
        <v>17</v>
      </c>
      <c r="P84" s="1">
        <v>1100</v>
      </c>
      <c r="Q84" s="5" t="s">
        <v>18</v>
      </c>
      <c r="R84" s="11" t="s">
        <v>677</v>
      </c>
    </row>
    <row r="85" spans="1:18" x14ac:dyDescent="0.3">
      <c r="A85" s="4">
        <v>84</v>
      </c>
      <c r="B85" s="1" t="s">
        <v>153</v>
      </c>
      <c r="C85" s="1">
        <v>1267891</v>
      </c>
      <c r="D85" s="1" t="s">
        <v>16</v>
      </c>
      <c r="E85" s="1">
        <v>44</v>
      </c>
      <c r="F85" s="1" t="str" cm="1">
        <f t="array" ref="F85">_xlfn.IFS(Table1[[#This Row],[age]]&gt;=50,"senior",Table1[[#This Row],[age]]&gt;20,"adult",Table1[[#This Row],[age]]&lt;=20,"teenager")</f>
        <v>adult</v>
      </c>
      <c r="G85" s="3">
        <v>45473</v>
      </c>
      <c r="H85" s="1" t="str">
        <f>TEXT(Table1[[#This Row],[date]],"mmm")</f>
        <v>Jun</v>
      </c>
      <c r="I85" s="1" t="s">
        <v>673</v>
      </c>
      <c r="J85" s="1" t="s">
        <v>455</v>
      </c>
      <c r="K85" s="1" t="s">
        <v>38</v>
      </c>
      <c r="L85" s="1" t="s">
        <v>64</v>
      </c>
      <c r="M85" s="1" t="s">
        <v>42</v>
      </c>
      <c r="N85" s="1">
        <v>1</v>
      </c>
      <c r="O85" s="1" t="s">
        <v>17</v>
      </c>
      <c r="P85" s="1">
        <v>1160</v>
      </c>
      <c r="Q85" s="5" t="s">
        <v>18</v>
      </c>
      <c r="R85" s="11" t="s">
        <v>677</v>
      </c>
    </row>
    <row r="86" spans="1:18" x14ac:dyDescent="0.3">
      <c r="A86" s="4">
        <v>85</v>
      </c>
      <c r="B86" s="1" t="s">
        <v>154</v>
      </c>
      <c r="C86" s="1">
        <v>1279002</v>
      </c>
      <c r="D86" s="1" t="s">
        <v>16</v>
      </c>
      <c r="E86" s="1">
        <v>45</v>
      </c>
      <c r="F86" s="1" t="str" cm="1">
        <f t="array" ref="F86">_xlfn.IFS(Table1[[#This Row],[age]]&gt;=50,"senior",Table1[[#This Row],[age]]&gt;20,"adult",Table1[[#This Row],[age]]&lt;=20,"teenager")</f>
        <v>adult</v>
      </c>
      <c r="G86" s="3">
        <v>45474</v>
      </c>
      <c r="H86" s="1" t="str">
        <f>TEXT(Table1[[#This Row],[date]],"mmm")</f>
        <v>Jul</v>
      </c>
      <c r="I86" s="1" t="s">
        <v>673</v>
      </c>
      <c r="J86" s="1" t="s">
        <v>456</v>
      </c>
      <c r="K86" s="1" t="s">
        <v>38</v>
      </c>
      <c r="L86" s="1" t="s">
        <v>64</v>
      </c>
      <c r="M86" s="1" t="s">
        <v>43</v>
      </c>
      <c r="N86" s="1">
        <v>1</v>
      </c>
      <c r="O86" s="1" t="s">
        <v>17</v>
      </c>
      <c r="P86" s="1">
        <v>1220</v>
      </c>
      <c r="Q86" s="5" t="s">
        <v>18</v>
      </c>
      <c r="R86" s="11" t="s">
        <v>677</v>
      </c>
    </row>
    <row r="87" spans="1:18" x14ac:dyDescent="0.3">
      <c r="A87" s="4">
        <v>86</v>
      </c>
      <c r="B87" s="1" t="s">
        <v>155</v>
      </c>
      <c r="C87" s="1">
        <v>1290113</v>
      </c>
      <c r="D87" s="1" t="s">
        <v>16</v>
      </c>
      <c r="E87" s="1">
        <v>46</v>
      </c>
      <c r="F87" s="1" t="str" cm="1">
        <f t="array" ref="F87">_xlfn.IFS(Table1[[#This Row],[age]]&gt;=50,"senior",Table1[[#This Row],[age]]&gt;20,"adult",Table1[[#This Row],[age]]&lt;=20,"teenager")</f>
        <v>adult</v>
      </c>
      <c r="G87" s="3">
        <v>45475</v>
      </c>
      <c r="H87" s="1" t="str">
        <f>TEXT(Table1[[#This Row],[date]],"mmm")</f>
        <v>Jul</v>
      </c>
      <c r="I87" s="1" t="s">
        <v>673</v>
      </c>
      <c r="J87" s="1" t="s">
        <v>457</v>
      </c>
      <c r="K87" s="1" t="s">
        <v>38</v>
      </c>
      <c r="L87" s="1" t="s">
        <v>64</v>
      </c>
      <c r="M87" s="1" t="s">
        <v>43</v>
      </c>
      <c r="N87" s="1">
        <v>1</v>
      </c>
      <c r="O87" s="1" t="s">
        <v>17</v>
      </c>
      <c r="P87" s="1">
        <v>344</v>
      </c>
      <c r="Q87" s="5" t="s">
        <v>18</v>
      </c>
      <c r="R87" s="11" t="s">
        <v>677</v>
      </c>
    </row>
    <row r="88" spans="1:18" x14ac:dyDescent="0.3">
      <c r="A88" s="4">
        <v>87</v>
      </c>
      <c r="B88" s="1" t="s">
        <v>156</v>
      </c>
      <c r="C88" s="1">
        <v>1301224</v>
      </c>
      <c r="D88" s="1" t="s">
        <v>16</v>
      </c>
      <c r="E88" s="1">
        <v>47</v>
      </c>
      <c r="F88" s="1" t="str" cm="1">
        <f t="array" ref="F88">_xlfn.IFS(Table1[[#This Row],[age]]&gt;=50,"senior",Table1[[#This Row],[age]]&gt;20,"adult",Table1[[#This Row],[age]]&lt;=20,"teenager")</f>
        <v>adult</v>
      </c>
      <c r="G88" s="3">
        <v>45476</v>
      </c>
      <c r="H88" s="1" t="str">
        <f>TEXT(Table1[[#This Row],[date]],"mmm")</f>
        <v>Jul</v>
      </c>
      <c r="I88" s="1" t="s">
        <v>673</v>
      </c>
      <c r="J88" s="1" t="s">
        <v>458</v>
      </c>
      <c r="K88" s="1" t="s">
        <v>38</v>
      </c>
      <c r="L88" s="1" t="s">
        <v>64</v>
      </c>
      <c r="M88" s="1" t="s">
        <v>43</v>
      </c>
      <c r="N88" s="1">
        <v>1</v>
      </c>
      <c r="O88" s="1" t="s">
        <v>17</v>
      </c>
      <c r="P88" s="1">
        <v>356</v>
      </c>
      <c r="Q88" s="5" t="s">
        <v>27</v>
      </c>
      <c r="R88" s="11" t="s">
        <v>677</v>
      </c>
    </row>
    <row r="89" spans="1:18" x14ac:dyDescent="0.3">
      <c r="A89" s="4">
        <v>88</v>
      </c>
      <c r="B89" s="1" t="s">
        <v>157</v>
      </c>
      <c r="C89" s="1">
        <v>1312335</v>
      </c>
      <c r="D89" s="1" t="s">
        <v>16</v>
      </c>
      <c r="E89" s="1">
        <v>20</v>
      </c>
      <c r="F89" s="1" t="str" cm="1">
        <f t="array" ref="F89">_xlfn.IFS(Table1[[#This Row],[age]]&gt;=50,"senior",Table1[[#This Row],[age]]&gt;20,"adult",Table1[[#This Row],[age]]&lt;=20,"teenager")</f>
        <v>teenager</v>
      </c>
      <c r="G89" s="3">
        <v>45477</v>
      </c>
      <c r="H89" s="1" t="str">
        <f>TEXT(Table1[[#This Row],[date]],"mmm")</f>
        <v>Jul</v>
      </c>
      <c r="I89" s="1" t="s">
        <v>673</v>
      </c>
      <c r="J89" s="1" t="s">
        <v>459</v>
      </c>
      <c r="K89" s="1" t="s">
        <v>35</v>
      </c>
      <c r="L89" s="1" t="s">
        <v>64</v>
      </c>
      <c r="M89" s="1" t="s">
        <v>41</v>
      </c>
      <c r="N89" s="1">
        <v>1</v>
      </c>
      <c r="O89" s="1" t="s">
        <v>17</v>
      </c>
      <c r="P89" s="1">
        <v>368</v>
      </c>
      <c r="Q89" s="5" t="s">
        <v>27</v>
      </c>
      <c r="R89" s="11" t="s">
        <v>677</v>
      </c>
    </row>
    <row r="90" spans="1:18" x14ac:dyDescent="0.3">
      <c r="A90" s="4">
        <v>89</v>
      </c>
      <c r="B90" s="1" t="s">
        <v>158</v>
      </c>
      <c r="C90" s="1">
        <v>1323446</v>
      </c>
      <c r="D90" s="1" t="s">
        <v>16</v>
      </c>
      <c r="E90" s="1">
        <v>21</v>
      </c>
      <c r="F90" s="1" t="str" cm="1">
        <f t="array" ref="F90">_xlfn.IFS(Table1[[#This Row],[age]]&gt;=50,"senior",Table1[[#This Row],[age]]&gt;20,"adult",Table1[[#This Row],[age]]&lt;=20,"teenager")</f>
        <v>adult</v>
      </c>
      <c r="G90" s="3">
        <v>45478</v>
      </c>
      <c r="H90" s="1" t="str">
        <f>TEXT(Table1[[#This Row],[date]],"mmm")</f>
        <v>Jul</v>
      </c>
      <c r="I90" s="1" t="s">
        <v>673</v>
      </c>
      <c r="J90" s="1" t="s">
        <v>460</v>
      </c>
      <c r="K90" s="1" t="s">
        <v>35</v>
      </c>
      <c r="L90" s="1" t="s">
        <v>64</v>
      </c>
      <c r="M90" s="1" t="s">
        <v>41</v>
      </c>
      <c r="N90" s="1">
        <v>1</v>
      </c>
      <c r="O90" s="1" t="s">
        <v>17</v>
      </c>
      <c r="P90" s="1">
        <v>380</v>
      </c>
      <c r="Q90" s="5" t="s">
        <v>27</v>
      </c>
      <c r="R90" s="11" t="s">
        <v>677</v>
      </c>
    </row>
    <row r="91" spans="1:18" x14ac:dyDescent="0.3">
      <c r="A91" s="4">
        <v>90</v>
      </c>
      <c r="B91" s="1" t="s">
        <v>159</v>
      </c>
      <c r="C91" s="1">
        <v>1334557</v>
      </c>
      <c r="D91" s="1" t="s">
        <v>16</v>
      </c>
      <c r="E91" s="1">
        <v>22</v>
      </c>
      <c r="F91" s="1" t="str" cm="1">
        <f t="array" ref="F91">_xlfn.IFS(Table1[[#This Row],[age]]&gt;=50,"senior",Table1[[#This Row],[age]]&gt;20,"adult",Table1[[#This Row],[age]]&lt;=20,"teenager")</f>
        <v>adult</v>
      </c>
      <c r="G91" s="3">
        <v>45479</v>
      </c>
      <c r="H91" s="1" t="str">
        <f>TEXT(Table1[[#This Row],[date]],"mmm")</f>
        <v>Jul</v>
      </c>
      <c r="I91" s="1" t="s">
        <v>673</v>
      </c>
      <c r="J91" s="1" t="s">
        <v>461</v>
      </c>
      <c r="K91" s="1" t="s">
        <v>35</v>
      </c>
      <c r="L91" s="1" t="s">
        <v>68</v>
      </c>
      <c r="M91" s="1" t="s">
        <v>41</v>
      </c>
      <c r="N91" s="1">
        <v>1</v>
      </c>
      <c r="O91" s="1" t="s">
        <v>17</v>
      </c>
      <c r="P91" s="1">
        <v>392</v>
      </c>
      <c r="Q91" s="5" t="s">
        <v>18</v>
      </c>
      <c r="R91" s="11" t="s">
        <v>677</v>
      </c>
    </row>
    <row r="92" spans="1:18" x14ac:dyDescent="0.3">
      <c r="A92" s="4">
        <v>91</v>
      </c>
      <c r="B92" s="1" t="s">
        <v>160</v>
      </c>
      <c r="C92" s="1">
        <v>1345668</v>
      </c>
      <c r="D92" s="1" t="s">
        <v>16</v>
      </c>
      <c r="E92" s="1">
        <v>23</v>
      </c>
      <c r="F92" s="1" t="str" cm="1">
        <f t="array" ref="F92">_xlfn.IFS(Table1[[#This Row],[age]]&gt;=50,"senior",Table1[[#This Row],[age]]&gt;20,"adult",Table1[[#This Row],[age]]&lt;=20,"teenager")</f>
        <v>adult</v>
      </c>
      <c r="G92" s="3">
        <v>45480</v>
      </c>
      <c r="H92" s="1" t="str">
        <f>TEXT(Table1[[#This Row],[date]],"mmm")</f>
        <v>Jul</v>
      </c>
      <c r="I92" s="1" t="s">
        <v>673</v>
      </c>
      <c r="J92" s="1" t="s">
        <v>462</v>
      </c>
      <c r="K92" s="1" t="s">
        <v>36</v>
      </c>
      <c r="L92" s="1" t="s">
        <v>68</v>
      </c>
      <c r="M92" s="1" t="s">
        <v>41</v>
      </c>
      <c r="N92" s="1">
        <v>1</v>
      </c>
      <c r="O92" s="1" t="s">
        <v>17</v>
      </c>
      <c r="P92" s="1">
        <v>404</v>
      </c>
      <c r="Q92" s="5" t="s">
        <v>21</v>
      </c>
      <c r="R92" s="11" t="s">
        <v>677</v>
      </c>
    </row>
    <row r="93" spans="1:18" x14ac:dyDescent="0.3">
      <c r="A93" s="4">
        <v>92</v>
      </c>
      <c r="B93" s="1" t="s">
        <v>161</v>
      </c>
      <c r="C93" s="1">
        <v>1356779</v>
      </c>
      <c r="D93" s="1" t="s">
        <v>16</v>
      </c>
      <c r="E93" s="1">
        <v>24</v>
      </c>
      <c r="F93" s="1" t="str" cm="1">
        <f t="array" ref="F93">_xlfn.IFS(Table1[[#This Row],[age]]&gt;=50,"senior",Table1[[#This Row],[age]]&gt;20,"adult",Table1[[#This Row],[age]]&lt;=20,"teenager")</f>
        <v>adult</v>
      </c>
      <c r="G93" s="3">
        <v>45481</v>
      </c>
      <c r="H93" s="1" t="str">
        <f>TEXT(Table1[[#This Row],[date]],"mmm")</f>
        <v>Jul</v>
      </c>
      <c r="I93" s="1" t="s">
        <v>673</v>
      </c>
      <c r="J93" s="1" t="s">
        <v>463</v>
      </c>
      <c r="K93" s="1" t="s">
        <v>34</v>
      </c>
      <c r="L93" s="1" t="s">
        <v>68</v>
      </c>
      <c r="M93" s="1" t="s">
        <v>45</v>
      </c>
      <c r="N93" s="1">
        <v>1</v>
      </c>
      <c r="O93" s="1" t="s">
        <v>17</v>
      </c>
      <c r="P93" s="1">
        <v>416</v>
      </c>
      <c r="Q93" s="5" t="s">
        <v>21</v>
      </c>
      <c r="R93" s="11" t="s">
        <v>677</v>
      </c>
    </row>
    <row r="94" spans="1:18" x14ac:dyDescent="0.3">
      <c r="A94" s="4">
        <v>93</v>
      </c>
      <c r="B94" s="1" t="s">
        <v>162</v>
      </c>
      <c r="C94" s="1">
        <v>1367890</v>
      </c>
      <c r="D94" s="1" t="s">
        <v>16</v>
      </c>
      <c r="E94" s="1">
        <v>25</v>
      </c>
      <c r="F94" s="1" t="str" cm="1">
        <f t="array" ref="F94">_xlfn.IFS(Table1[[#This Row],[age]]&gt;=50,"senior",Table1[[#This Row],[age]]&gt;20,"adult",Table1[[#This Row],[age]]&lt;=20,"teenager")</f>
        <v>adult</v>
      </c>
      <c r="G94" s="3">
        <v>45482</v>
      </c>
      <c r="H94" s="1" t="str">
        <f>TEXT(Table1[[#This Row],[date]],"mmm")</f>
        <v>Jul</v>
      </c>
      <c r="I94" s="1" t="s">
        <v>673</v>
      </c>
      <c r="J94" s="1" t="s">
        <v>464</v>
      </c>
      <c r="K94" s="1" t="s">
        <v>34</v>
      </c>
      <c r="L94" s="1" t="s">
        <v>60</v>
      </c>
      <c r="M94" s="1" t="s">
        <v>42</v>
      </c>
      <c r="N94" s="1">
        <v>1</v>
      </c>
      <c r="O94" s="1" t="s">
        <v>17</v>
      </c>
      <c r="P94" s="1">
        <v>428</v>
      </c>
      <c r="Q94" s="5" t="s">
        <v>21</v>
      </c>
      <c r="R94" s="11" t="s">
        <v>677</v>
      </c>
    </row>
    <row r="95" spans="1:18" x14ac:dyDescent="0.3">
      <c r="A95" s="4">
        <v>94</v>
      </c>
      <c r="B95" s="1" t="s">
        <v>163</v>
      </c>
      <c r="C95" s="1">
        <v>1379001</v>
      </c>
      <c r="D95" s="1" t="s">
        <v>16</v>
      </c>
      <c r="E95" s="1">
        <v>26</v>
      </c>
      <c r="F95" s="1" t="str" cm="1">
        <f t="array" ref="F95">_xlfn.IFS(Table1[[#This Row],[age]]&gt;=50,"senior",Table1[[#This Row],[age]]&gt;20,"adult",Table1[[#This Row],[age]]&lt;=20,"teenager")</f>
        <v>adult</v>
      </c>
      <c r="G95" s="3">
        <v>45483</v>
      </c>
      <c r="H95" s="1" t="str">
        <f>TEXT(Table1[[#This Row],[date]],"mmm")</f>
        <v>Jul</v>
      </c>
      <c r="I95" s="1" t="s">
        <v>673</v>
      </c>
      <c r="J95" s="1" t="s">
        <v>465</v>
      </c>
      <c r="K95" s="1" t="s">
        <v>34</v>
      </c>
      <c r="L95" s="1" t="s">
        <v>60</v>
      </c>
      <c r="M95" s="1" t="s">
        <v>45</v>
      </c>
      <c r="N95" s="1">
        <v>1</v>
      </c>
      <c r="O95" s="1" t="s">
        <v>17</v>
      </c>
      <c r="P95" s="1">
        <v>440</v>
      </c>
      <c r="Q95" s="5" t="s">
        <v>33</v>
      </c>
      <c r="R95" s="11" t="s">
        <v>677</v>
      </c>
    </row>
    <row r="96" spans="1:18" x14ac:dyDescent="0.3">
      <c r="A96" s="4">
        <v>95</v>
      </c>
      <c r="B96" s="1" t="s">
        <v>164</v>
      </c>
      <c r="C96" s="1">
        <v>1390112</v>
      </c>
      <c r="D96" s="1" t="s">
        <v>16</v>
      </c>
      <c r="E96" s="1">
        <v>27</v>
      </c>
      <c r="F96" s="1" t="str" cm="1">
        <f t="array" ref="F96">_xlfn.IFS(Table1[[#This Row],[age]]&gt;=50,"senior",Table1[[#This Row],[age]]&gt;20,"adult",Table1[[#This Row],[age]]&lt;=20,"teenager")</f>
        <v>adult</v>
      </c>
      <c r="G96" s="3">
        <v>45484</v>
      </c>
      <c r="H96" s="1" t="str">
        <f>TEXT(Table1[[#This Row],[date]],"mmm")</f>
        <v>Jul</v>
      </c>
      <c r="I96" s="1" t="s">
        <v>673</v>
      </c>
      <c r="J96" s="1" t="s">
        <v>466</v>
      </c>
      <c r="K96" s="1" t="s">
        <v>38</v>
      </c>
      <c r="L96" s="1" t="s">
        <v>60</v>
      </c>
      <c r="M96" s="1" t="s">
        <v>45</v>
      </c>
      <c r="N96" s="1">
        <v>1</v>
      </c>
      <c r="O96" s="1" t="s">
        <v>17</v>
      </c>
      <c r="P96" s="1">
        <v>1080</v>
      </c>
      <c r="Q96" s="5" t="s">
        <v>33</v>
      </c>
      <c r="R96" s="11" t="s">
        <v>677</v>
      </c>
    </row>
    <row r="97" spans="1:18" x14ac:dyDescent="0.3">
      <c r="A97" s="4">
        <v>96</v>
      </c>
      <c r="B97" s="1" t="s">
        <v>165</v>
      </c>
      <c r="C97" s="1">
        <v>1401223</v>
      </c>
      <c r="D97" s="1" t="s">
        <v>16</v>
      </c>
      <c r="E97" s="1">
        <v>19</v>
      </c>
      <c r="F97" s="1" t="str" cm="1">
        <f t="array" ref="F97">_xlfn.IFS(Table1[[#This Row],[age]]&gt;=50,"senior",Table1[[#This Row],[age]]&gt;20,"adult",Table1[[#This Row],[age]]&lt;=20,"teenager")</f>
        <v>teenager</v>
      </c>
      <c r="G97" s="3">
        <v>45485</v>
      </c>
      <c r="H97" s="1" t="str">
        <f>TEXT(Table1[[#This Row],[date]],"mmm")</f>
        <v>Jul</v>
      </c>
      <c r="I97" s="1" t="s">
        <v>673</v>
      </c>
      <c r="J97" s="1" t="s">
        <v>467</v>
      </c>
      <c r="K97" s="1" t="s">
        <v>38</v>
      </c>
      <c r="L97" s="1" t="s">
        <v>60</v>
      </c>
      <c r="M97" s="1" t="s">
        <v>45</v>
      </c>
      <c r="N97" s="1">
        <v>1</v>
      </c>
      <c r="O97" s="1" t="s">
        <v>17</v>
      </c>
      <c r="P97" s="1">
        <v>1125</v>
      </c>
      <c r="Q97" s="5" t="s">
        <v>33</v>
      </c>
      <c r="R97" s="11" t="s">
        <v>677</v>
      </c>
    </row>
    <row r="98" spans="1:18" x14ac:dyDescent="0.3">
      <c r="A98" s="4">
        <v>97</v>
      </c>
      <c r="B98" s="1" t="s">
        <v>166</v>
      </c>
      <c r="C98" s="1">
        <v>1412334</v>
      </c>
      <c r="D98" s="1" t="s">
        <v>16</v>
      </c>
      <c r="E98" s="1">
        <v>19</v>
      </c>
      <c r="F98" s="1" t="str" cm="1">
        <f t="array" ref="F98">_xlfn.IFS(Table1[[#This Row],[age]]&gt;=50,"senior",Table1[[#This Row],[age]]&gt;20,"adult",Table1[[#This Row],[age]]&lt;=20,"teenager")</f>
        <v>teenager</v>
      </c>
      <c r="G98" s="3">
        <v>45486</v>
      </c>
      <c r="H98" s="1" t="str">
        <f>TEXT(Table1[[#This Row],[date]],"mmm")</f>
        <v>Jul</v>
      </c>
      <c r="I98" s="1" t="s">
        <v>673</v>
      </c>
      <c r="J98" s="1" t="s">
        <v>468</v>
      </c>
      <c r="K98" s="1" t="s">
        <v>38</v>
      </c>
      <c r="L98" s="1" t="s">
        <v>59</v>
      </c>
      <c r="M98" s="1" t="s">
        <v>45</v>
      </c>
      <c r="N98" s="1">
        <v>1</v>
      </c>
      <c r="O98" s="1" t="s">
        <v>17</v>
      </c>
      <c r="P98" s="1">
        <v>1170</v>
      </c>
      <c r="Q98" s="5" t="s">
        <v>33</v>
      </c>
      <c r="R98" s="11" t="s">
        <v>677</v>
      </c>
    </row>
    <row r="99" spans="1:18" x14ac:dyDescent="0.3">
      <c r="A99" s="4">
        <v>98</v>
      </c>
      <c r="B99" s="1" t="s">
        <v>167</v>
      </c>
      <c r="C99" s="1">
        <v>1423445</v>
      </c>
      <c r="D99" s="1" t="s">
        <v>16</v>
      </c>
      <c r="E99" s="1">
        <v>19</v>
      </c>
      <c r="F99" s="1" t="str" cm="1">
        <f t="array" ref="F99">_xlfn.IFS(Table1[[#This Row],[age]]&gt;=50,"senior",Table1[[#This Row],[age]]&gt;20,"adult",Table1[[#This Row],[age]]&lt;=20,"teenager")</f>
        <v>teenager</v>
      </c>
      <c r="G99" s="3">
        <v>45487</v>
      </c>
      <c r="H99" s="1" t="str">
        <f>TEXT(Table1[[#This Row],[date]],"mmm")</f>
        <v>Jul</v>
      </c>
      <c r="I99" s="1" t="s">
        <v>673</v>
      </c>
      <c r="J99" s="1" t="s">
        <v>469</v>
      </c>
      <c r="K99" s="1" t="s">
        <v>38</v>
      </c>
      <c r="L99" s="1" t="s">
        <v>59</v>
      </c>
      <c r="M99" s="1" t="s">
        <v>45</v>
      </c>
      <c r="N99" s="1">
        <v>1</v>
      </c>
      <c r="O99" s="1" t="s">
        <v>17</v>
      </c>
      <c r="P99" s="1">
        <v>1215</v>
      </c>
      <c r="Q99" s="5" t="s">
        <v>23</v>
      </c>
      <c r="R99" s="11" t="s">
        <v>677</v>
      </c>
    </row>
    <row r="100" spans="1:18" x14ac:dyDescent="0.3">
      <c r="A100" s="4">
        <v>99</v>
      </c>
      <c r="B100" s="1" t="s">
        <v>168</v>
      </c>
      <c r="C100" s="1">
        <v>1434556</v>
      </c>
      <c r="D100" s="1" t="s">
        <v>16</v>
      </c>
      <c r="E100" s="1">
        <v>19</v>
      </c>
      <c r="F100" s="1" t="str" cm="1">
        <f t="array" ref="F100">_xlfn.IFS(Table1[[#This Row],[age]]&gt;=50,"senior",Table1[[#This Row],[age]]&gt;20,"adult",Table1[[#This Row],[age]]&lt;=20,"teenager")</f>
        <v>teenager</v>
      </c>
      <c r="G100" s="3">
        <v>45488</v>
      </c>
      <c r="H100" s="1" t="str">
        <f>TEXT(Table1[[#This Row],[date]],"mmm")</f>
        <v>Jul</v>
      </c>
      <c r="I100" s="1" t="s">
        <v>673</v>
      </c>
      <c r="J100" s="1" t="s">
        <v>470</v>
      </c>
      <c r="K100" s="1" t="s">
        <v>37</v>
      </c>
      <c r="L100" s="1" t="s">
        <v>59</v>
      </c>
      <c r="M100" s="1" t="s">
        <v>45</v>
      </c>
      <c r="N100" s="1">
        <v>1</v>
      </c>
      <c r="O100" s="1" t="s">
        <v>17</v>
      </c>
      <c r="P100" s="1">
        <v>1260</v>
      </c>
      <c r="Q100" s="5" t="s">
        <v>23</v>
      </c>
      <c r="R100" s="11" t="s">
        <v>677</v>
      </c>
    </row>
    <row r="101" spans="1:18" x14ac:dyDescent="0.3">
      <c r="A101" s="4">
        <v>100</v>
      </c>
      <c r="B101" s="1" t="s">
        <v>169</v>
      </c>
      <c r="C101" s="1">
        <v>1445667</v>
      </c>
      <c r="D101" s="1" t="s">
        <v>16</v>
      </c>
      <c r="E101" s="1">
        <v>20</v>
      </c>
      <c r="F101" s="1" t="str" cm="1">
        <f t="array" ref="F101">_xlfn.IFS(Table1[[#This Row],[age]]&gt;=50,"senior",Table1[[#This Row],[age]]&gt;20,"adult",Table1[[#This Row],[age]]&lt;=20,"teenager")</f>
        <v>teenager</v>
      </c>
      <c r="G101" s="3">
        <v>45489</v>
      </c>
      <c r="H101" s="1" t="str">
        <f>TEXT(Table1[[#This Row],[date]],"mmm")</f>
        <v>Jul</v>
      </c>
      <c r="I101" s="1" t="s">
        <v>673</v>
      </c>
      <c r="J101" s="1" t="s">
        <v>471</v>
      </c>
      <c r="K101" s="1" t="s">
        <v>37</v>
      </c>
      <c r="L101" s="1" t="s">
        <v>59</v>
      </c>
      <c r="M101" s="1" t="s">
        <v>40</v>
      </c>
      <c r="N101" s="1">
        <v>1</v>
      </c>
      <c r="O101" s="1" t="s">
        <v>17</v>
      </c>
      <c r="P101" s="1">
        <v>1305</v>
      </c>
      <c r="Q101" s="5" t="s">
        <v>23</v>
      </c>
      <c r="R101" s="11" t="s">
        <v>677</v>
      </c>
    </row>
    <row r="102" spans="1:18" x14ac:dyDescent="0.3">
      <c r="A102" s="4">
        <v>101</v>
      </c>
      <c r="B102" s="1" t="s">
        <v>170</v>
      </c>
      <c r="C102" s="1">
        <v>1456778</v>
      </c>
      <c r="D102" s="1" t="s">
        <v>16</v>
      </c>
      <c r="E102" s="1">
        <v>20</v>
      </c>
      <c r="F102" s="1" t="str" cm="1">
        <f t="array" ref="F102">_xlfn.IFS(Table1[[#This Row],[age]]&gt;=50,"senior",Table1[[#This Row],[age]]&gt;20,"adult",Table1[[#This Row],[age]]&lt;=20,"teenager")</f>
        <v>teenager</v>
      </c>
      <c r="G102" s="3">
        <v>45490</v>
      </c>
      <c r="H102" s="1" t="str">
        <f>TEXT(Table1[[#This Row],[date]],"mmm")</f>
        <v>Jul</v>
      </c>
      <c r="I102" s="1" t="s">
        <v>673</v>
      </c>
      <c r="J102" s="1" t="s">
        <v>472</v>
      </c>
      <c r="K102" s="1" t="s">
        <v>37</v>
      </c>
      <c r="L102" s="1" t="s">
        <v>59</v>
      </c>
      <c r="M102" s="1" t="s">
        <v>46</v>
      </c>
      <c r="N102" s="1">
        <v>1</v>
      </c>
      <c r="O102" s="1" t="s">
        <v>17</v>
      </c>
      <c r="P102" s="1">
        <v>1003</v>
      </c>
      <c r="Q102" s="5" t="s">
        <v>20</v>
      </c>
      <c r="R102" s="11" t="s">
        <v>677</v>
      </c>
    </row>
    <row r="103" spans="1:18" x14ac:dyDescent="0.3">
      <c r="A103" s="4">
        <v>102</v>
      </c>
      <c r="B103" s="1" t="s">
        <v>171</v>
      </c>
      <c r="C103" s="1">
        <v>1467889</v>
      </c>
      <c r="D103" s="1" t="s">
        <v>16</v>
      </c>
      <c r="E103" s="1">
        <v>20</v>
      </c>
      <c r="F103" s="1" t="str" cm="1">
        <f t="array" ref="F103">_xlfn.IFS(Table1[[#This Row],[age]]&gt;=50,"senior",Table1[[#This Row],[age]]&gt;20,"adult",Table1[[#This Row],[age]]&lt;=20,"teenager")</f>
        <v>teenager</v>
      </c>
      <c r="G103" s="3">
        <v>45491</v>
      </c>
      <c r="H103" s="1" t="str">
        <f>TEXT(Table1[[#This Row],[date]],"mmm")</f>
        <v>Jul</v>
      </c>
      <c r="I103" s="1" t="s">
        <v>673</v>
      </c>
      <c r="J103" s="1" t="s">
        <v>473</v>
      </c>
      <c r="K103" s="1" t="s">
        <v>38</v>
      </c>
      <c r="L103" s="1" t="s">
        <v>56</v>
      </c>
      <c r="M103" s="1" t="s">
        <v>45</v>
      </c>
      <c r="N103" s="1">
        <v>1</v>
      </c>
      <c r="O103" s="1" t="s">
        <v>17</v>
      </c>
      <c r="P103" s="1">
        <v>1030</v>
      </c>
      <c r="Q103" s="5" t="s">
        <v>20</v>
      </c>
      <c r="R103" s="11" t="s">
        <v>677</v>
      </c>
    </row>
    <row r="104" spans="1:18" x14ac:dyDescent="0.3">
      <c r="A104" s="4">
        <v>103</v>
      </c>
      <c r="B104" s="1" t="s">
        <v>172</v>
      </c>
      <c r="C104" s="1">
        <v>1479000</v>
      </c>
      <c r="D104" s="1" t="s">
        <v>16</v>
      </c>
      <c r="E104" s="1">
        <v>20</v>
      </c>
      <c r="F104" s="1" t="str" cm="1">
        <f t="array" ref="F104">_xlfn.IFS(Table1[[#This Row],[age]]&gt;=50,"senior",Table1[[#This Row],[age]]&gt;20,"adult",Table1[[#This Row],[age]]&lt;=20,"teenager")</f>
        <v>teenager</v>
      </c>
      <c r="G104" s="3">
        <v>45492</v>
      </c>
      <c r="H104" s="1" t="str">
        <f>TEXT(Table1[[#This Row],[date]],"mmm")</f>
        <v>Jul</v>
      </c>
      <c r="I104" s="1" t="s">
        <v>673</v>
      </c>
      <c r="J104" s="1" t="s">
        <v>474</v>
      </c>
      <c r="K104" s="1" t="s">
        <v>38</v>
      </c>
      <c r="L104" s="1" t="s">
        <v>56</v>
      </c>
      <c r="M104" s="1" t="s">
        <v>45</v>
      </c>
      <c r="N104" s="1">
        <v>1</v>
      </c>
      <c r="O104" s="1" t="s">
        <v>17</v>
      </c>
      <c r="P104" s="1">
        <v>1057</v>
      </c>
      <c r="Q104" s="5" t="s">
        <v>20</v>
      </c>
      <c r="R104" s="11" t="s">
        <v>677</v>
      </c>
    </row>
    <row r="105" spans="1:18" x14ac:dyDescent="0.3">
      <c r="A105" s="4">
        <v>104</v>
      </c>
      <c r="B105" s="1" t="s">
        <v>173</v>
      </c>
      <c r="C105" s="1">
        <v>1490111</v>
      </c>
      <c r="D105" s="1" t="s">
        <v>16</v>
      </c>
      <c r="E105" s="1">
        <v>22</v>
      </c>
      <c r="F105" s="1" t="str" cm="1">
        <f t="array" ref="F105">_xlfn.IFS(Table1[[#This Row],[age]]&gt;=50,"senior",Table1[[#This Row],[age]]&gt;20,"adult",Table1[[#This Row],[age]]&lt;=20,"teenager")</f>
        <v>adult</v>
      </c>
      <c r="G105" s="3">
        <v>45493</v>
      </c>
      <c r="H105" s="1" t="str">
        <f>TEXT(Table1[[#This Row],[date]],"mmm")</f>
        <v>Jul</v>
      </c>
      <c r="I105" s="1" t="s">
        <v>673</v>
      </c>
      <c r="J105" s="1" t="s">
        <v>475</v>
      </c>
      <c r="K105" s="1" t="s">
        <v>38</v>
      </c>
      <c r="L105" s="1" t="s">
        <v>56</v>
      </c>
      <c r="M105" s="1" t="s">
        <v>45</v>
      </c>
      <c r="N105" s="1">
        <v>1</v>
      </c>
      <c r="O105" s="1" t="s">
        <v>17</v>
      </c>
      <c r="P105" s="1">
        <v>1084</v>
      </c>
      <c r="Q105" s="5" t="s">
        <v>33</v>
      </c>
      <c r="R105" s="11" t="s">
        <v>677</v>
      </c>
    </row>
    <row r="106" spans="1:18" x14ac:dyDescent="0.3">
      <c r="A106" s="4">
        <v>105</v>
      </c>
      <c r="B106" s="1" t="s">
        <v>174</v>
      </c>
      <c r="C106" s="1">
        <v>1501222</v>
      </c>
      <c r="D106" s="1" t="s">
        <v>16</v>
      </c>
      <c r="E106" s="1">
        <v>22</v>
      </c>
      <c r="F106" s="1" t="str" cm="1">
        <f t="array" ref="F106">_xlfn.IFS(Table1[[#This Row],[age]]&gt;=50,"senior",Table1[[#This Row],[age]]&gt;20,"adult",Table1[[#This Row],[age]]&lt;=20,"teenager")</f>
        <v>adult</v>
      </c>
      <c r="G106" s="3">
        <v>45494</v>
      </c>
      <c r="H106" s="1" t="str">
        <f>TEXT(Table1[[#This Row],[date]],"mmm")</f>
        <v>Jul</v>
      </c>
      <c r="I106" s="1" t="s">
        <v>673</v>
      </c>
      <c r="J106" s="1" t="s">
        <v>476</v>
      </c>
      <c r="K106" s="1" t="s">
        <v>50</v>
      </c>
      <c r="L106" s="1" t="s">
        <v>65</v>
      </c>
      <c r="M106" s="1" t="s">
        <v>45</v>
      </c>
      <c r="N106" s="1">
        <v>1</v>
      </c>
      <c r="O106" s="1" t="s">
        <v>17</v>
      </c>
      <c r="P106" s="1">
        <v>1111</v>
      </c>
      <c r="Q106" s="5" t="s">
        <v>33</v>
      </c>
      <c r="R106" s="11" t="s">
        <v>677</v>
      </c>
    </row>
    <row r="107" spans="1:18" x14ac:dyDescent="0.3">
      <c r="A107" s="4">
        <v>106</v>
      </c>
      <c r="B107" s="1" t="s">
        <v>175</v>
      </c>
      <c r="C107" s="1">
        <v>1512333</v>
      </c>
      <c r="D107" s="1" t="s">
        <v>16</v>
      </c>
      <c r="E107" s="1">
        <v>22</v>
      </c>
      <c r="F107" s="1" t="str" cm="1">
        <f t="array" ref="F107">_xlfn.IFS(Table1[[#This Row],[age]]&gt;=50,"senior",Table1[[#This Row],[age]]&gt;20,"adult",Table1[[#This Row],[age]]&lt;=20,"teenager")</f>
        <v>adult</v>
      </c>
      <c r="G107" s="3">
        <v>45495</v>
      </c>
      <c r="H107" s="1" t="str">
        <f>TEXT(Table1[[#This Row],[date]],"mmm")</f>
        <v>Jul</v>
      </c>
      <c r="I107" s="1" t="s">
        <v>673</v>
      </c>
      <c r="J107" s="1" t="s">
        <v>477</v>
      </c>
      <c r="K107" s="1" t="s">
        <v>50</v>
      </c>
      <c r="L107" s="1" t="s">
        <v>68</v>
      </c>
      <c r="M107" s="1" t="s">
        <v>45</v>
      </c>
      <c r="N107" s="1">
        <v>1</v>
      </c>
      <c r="O107" s="1" t="s">
        <v>17</v>
      </c>
      <c r="P107" s="1">
        <v>1138</v>
      </c>
      <c r="Q107" s="5" t="s">
        <v>33</v>
      </c>
      <c r="R107" s="11" t="s">
        <v>677</v>
      </c>
    </row>
    <row r="108" spans="1:18" x14ac:dyDescent="0.3">
      <c r="A108" s="4">
        <v>107</v>
      </c>
      <c r="B108" s="1" t="s">
        <v>176</v>
      </c>
      <c r="C108" s="1">
        <v>1523444</v>
      </c>
      <c r="D108" s="1" t="s">
        <v>16</v>
      </c>
      <c r="E108" s="1">
        <v>24</v>
      </c>
      <c r="F108" s="1" t="str" cm="1">
        <f t="array" ref="F108">_xlfn.IFS(Table1[[#This Row],[age]]&gt;=50,"senior",Table1[[#This Row],[age]]&gt;20,"adult",Table1[[#This Row],[age]]&lt;=20,"teenager")</f>
        <v>adult</v>
      </c>
      <c r="G108" s="3">
        <v>45496</v>
      </c>
      <c r="H108" s="1" t="str">
        <f>TEXT(Table1[[#This Row],[date]],"mmm")</f>
        <v>Jul</v>
      </c>
      <c r="I108" s="1" t="s">
        <v>673</v>
      </c>
      <c r="J108" s="1" t="s">
        <v>478</v>
      </c>
      <c r="K108" s="1" t="s">
        <v>50</v>
      </c>
      <c r="L108" s="1" t="s">
        <v>68</v>
      </c>
      <c r="M108" s="1" t="s">
        <v>42</v>
      </c>
      <c r="N108" s="1">
        <v>1</v>
      </c>
      <c r="O108" s="1" t="s">
        <v>17</v>
      </c>
      <c r="P108" s="1">
        <v>1165</v>
      </c>
      <c r="Q108" s="5" t="s">
        <v>33</v>
      </c>
      <c r="R108" s="11" t="s">
        <v>677</v>
      </c>
    </row>
    <row r="109" spans="1:18" x14ac:dyDescent="0.3">
      <c r="A109" s="4">
        <v>108</v>
      </c>
      <c r="B109" s="1" t="s">
        <v>177</v>
      </c>
      <c r="C109" s="1">
        <v>1534555</v>
      </c>
      <c r="D109" s="1" t="s">
        <v>16</v>
      </c>
      <c r="E109" s="1">
        <v>26</v>
      </c>
      <c r="F109" s="1" t="str" cm="1">
        <f t="array" ref="F109">_xlfn.IFS(Table1[[#This Row],[age]]&gt;=50,"senior",Table1[[#This Row],[age]]&gt;20,"adult",Table1[[#This Row],[age]]&lt;=20,"teenager")</f>
        <v>adult</v>
      </c>
      <c r="G109" s="3">
        <v>45497</v>
      </c>
      <c r="H109" s="1" t="str">
        <f>TEXT(Table1[[#This Row],[date]],"mmm")</f>
        <v>Jul</v>
      </c>
      <c r="I109" s="1" t="s">
        <v>673</v>
      </c>
      <c r="J109" s="1" t="s">
        <v>479</v>
      </c>
      <c r="K109" s="1" t="s">
        <v>49</v>
      </c>
      <c r="L109" s="1" t="s">
        <v>68</v>
      </c>
      <c r="M109" s="1" t="s">
        <v>42</v>
      </c>
      <c r="N109" s="1">
        <v>1</v>
      </c>
      <c r="O109" s="1" t="s">
        <v>17</v>
      </c>
      <c r="P109" s="1">
        <v>1192</v>
      </c>
      <c r="Q109" s="5" t="s">
        <v>23</v>
      </c>
      <c r="R109" s="11" t="s">
        <v>677</v>
      </c>
    </row>
    <row r="110" spans="1:18" x14ac:dyDescent="0.3">
      <c r="A110" s="4">
        <v>109</v>
      </c>
      <c r="B110" s="1" t="s">
        <v>178</v>
      </c>
      <c r="C110" s="1">
        <v>1545666</v>
      </c>
      <c r="D110" s="1" t="s">
        <v>16</v>
      </c>
      <c r="E110" s="1">
        <v>28</v>
      </c>
      <c r="F110" s="1" t="str" cm="1">
        <f t="array" ref="F110">_xlfn.IFS(Table1[[#This Row],[age]]&gt;=50,"senior",Table1[[#This Row],[age]]&gt;20,"adult",Table1[[#This Row],[age]]&lt;=20,"teenager")</f>
        <v>adult</v>
      </c>
      <c r="G110" s="3">
        <v>45498</v>
      </c>
      <c r="H110" s="1" t="str">
        <f>TEXT(Table1[[#This Row],[date]],"mmm")</f>
        <v>Jul</v>
      </c>
      <c r="I110" s="1" t="s">
        <v>673</v>
      </c>
      <c r="J110" s="1" t="s">
        <v>480</v>
      </c>
      <c r="K110" s="1" t="s">
        <v>49</v>
      </c>
      <c r="L110" s="1" t="s">
        <v>68</v>
      </c>
      <c r="M110" s="1" t="s">
        <v>42</v>
      </c>
      <c r="N110" s="1">
        <v>1</v>
      </c>
      <c r="O110" s="1" t="s">
        <v>17</v>
      </c>
      <c r="P110" s="1">
        <v>1219</v>
      </c>
      <c r="Q110" s="5" t="s">
        <v>23</v>
      </c>
      <c r="R110" s="11" t="s">
        <v>677</v>
      </c>
    </row>
    <row r="111" spans="1:18" x14ac:dyDescent="0.3">
      <c r="A111" s="4">
        <v>110</v>
      </c>
      <c r="B111" s="1" t="s">
        <v>179</v>
      </c>
      <c r="C111" s="1">
        <v>1556777</v>
      </c>
      <c r="D111" s="1" t="s">
        <v>16</v>
      </c>
      <c r="E111" s="1">
        <v>30</v>
      </c>
      <c r="F111" s="1" t="str" cm="1">
        <f t="array" ref="F111">_xlfn.IFS(Table1[[#This Row],[age]]&gt;=50,"senior",Table1[[#This Row],[age]]&gt;20,"adult",Table1[[#This Row],[age]]&lt;=20,"teenager")</f>
        <v>adult</v>
      </c>
      <c r="G111" s="3">
        <v>45499</v>
      </c>
      <c r="H111" s="1" t="str">
        <f>TEXT(Table1[[#This Row],[date]],"mmm")</f>
        <v>Jul</v>
      </c>
      <c r="I111" s="1" t="s">
        <v>673</v>
      </c>
      <c r="J111" s="1" t="s">
        <v>481</v>
      </c>
      <c r="K111" s="1" t="s">
        <v>49</v>
      </c>
      <c r="L111" s="1" t="s">
        <v>65</v>
      </c>
      <c r="M111" s="1" t="s">
        <v>42</v>
      </c>
      <c r="N111" s="1">
        <v>1</v>
      </c>
      <c r="O111" s="1" t="s">
        <v>17</v>
      </c>
      <c r="P111" s="1">
        <v>1246</v>
      </c>
      <c r="Q111" s="5" t="s">
        <v>18</v>
      </c>
      <c r="R111" s="11" t="s">
        <v>677</v>
      </c>
    </row>
    <row r="112" spans="1:18" x14ac:dyDescent="0.3">
      <c r="A112" s="4">
        <v>111</v>
      </c>
      <c r="B112" s="1" t="s">
        <v>180</v>
      </c>
      <c r="C112" s="1">
        <v>1567888</v>
      </c>
      <c r="D112" s="1" t="s">
        <v>16</v>
      </c>
      <c r="E112" s="1">
        <v>32</v>
      </c>
      <c r="F112" s="1" t="str" cm="1">
        <f t="array" ref="F112">_xlfn.IFS(Table1[[#This Row],[age]]&gt;=50,"senior",Table1[[#This Row],[age]]&gt;20,"adult",Table1[[#This Row],[age]]&lt;=20,"teenager")</f>
        <v>adult</v>
      </c>
      <c r="G112" s="3">
        <v>45500</v>
      </c>
      <c r="H112" s="1" t="str">
        <f>TEXT(Table1[[#This Row],[date]],"mmm")</f>
        <v>Jul</v>
      </c>
      <c r="I112" s="1" t="s">
        <v>673</v>
      </c>
      <c r="J112" s="1" t="s">
        <v>482</v>
      </c>
      <c r="K112" s="1" t="s">
        <v>48</v>
      </c>
      <c r="L112" s="1" t="s">
        <v>65</v>
      </c>
      <c r="M112" s="1" t="s">
        <v>42</v>
      </c>
      <c r="N112" s="1">
        <v>1</v>
      </c>
      <c r="O112" s="1" t="s">
        <v>17</v>
      </c>
      <c r="P112" s="1">
        <v>1273</v>
      </c>
      <c r="Q112" s="5" t="s">
        <v>18</v>
      </c>
      <c r="R112" s="11" t="s">
        <v>677</v>
      </c>
    </row>
    <row r="113" spans="1:18" x14ac:dyDescent="0.3">
      <c r="A113" s="4">
        <v>112</v>
      </c>
      <c r="B113" s="1" t="s">
        <v>181</v>
      </c>
      <c r="C113" s="1">
        <v>1578999</v>
      </c>
      <c r="D113" s="1" t="s">
        <v>16</v>
      </c>
      <c r="E113" s="1">
        <v>34</v>
      </c>
      <c r="F113" s="1" t="str" cm="1">
        <f t="array" ref="F113">_xlfn.IFS(Table1[[#This Row],[age]]&gt;=50,"senior",Table1[[#This Row],[age]]&gt;20,"adult",Table1[[#This Row],[age]]&lt;=20,"teenager")</f>
        <v>adult</v>
      </c>
      <c r="G113" s="3">
        <v>45501</v>
      </c>
      <c r="H113" s="1" t="str">
        <f>TEXT(Table1[[#This Row],[date]],"mmm")</f>
        <v>Jul</v>
      </c>
      <c r="I113" s="1" t="s">
        <v>673</v>
      </c>
      <c r="J113" s="1" t="s">
        <v>483</v>
      </c>
      <c r="K113" s="1" t="s">
        <v>48</v>
      </c>
      <c r="L113" s="1" t="s">
        <v>65</v>
      </c>
      <c r="M113" s="1" t="s">
        <v>42</v>
      </c>
      <c r="N113" s="1">
        <v>1</v>
      </c>
      <c r="O113" s="1" t="s">
        <v>17</v>
      </c>
      <c r="P113" s="1">
        <v>1300</v>
      </c>
      <c r="Q113" s="5" t="s">
        <v>18</v>
      </c>
      <c r="R113" s="11" t="s">
        <v>677</v>
      </c>
    </row>
    <row r="114" spans="1:18" x14ac:dyDescent="0.3">
      <c r="A114" s="4">
        <v>113</v>
      </c>
      <c r="B114" s="1" t="s">
        <v>182</v>
      </c>
      <c r="C114" s="1">
        <v>1590110</v>
      </c>
      <c r="D114" s="1" t="s">
        <v>16</v>
      </c>
      <c r="E114" s="1">
        <v>36</v>
      </c>
      <c r="F114" s="1" t="str" cm="1">
        <f t="array" ref="F114">_xlfn.IFS(Table1[[#This Row],[age]]&gt;=50,"senior",Table1[[#This Row],[age]]&gt;20,"adult",Table1[[#This Row],[age]]&lt;=20,"teenager")</f>
        <v>adult</v>
      </c>
      <c r="G114" s="3">
        <v>45502</v>
      </c>
      <c r="H114" s="1" t="str">
        <f>TEXT(Table1[[#This Row],[date]],"mmm")</f>
        <v>Jul</v>
      </c>
      <c r="I114" s="1" t="s">
        <v>673</v>
      </c>
      <c r="J114" s="1" t="s">
        <v>484</v>
      </c>
      <c r="K114" s="1" t="s">
        <v>48</v>
      </c>
      <c r="L114" s="1" t="s">
        <v>65</v>
      </c>
      <c r="M114" s="1" t="s">
        <v>42</v>
      </c>
      <c r="N114" s="1">
        <v>1</v>
      </c>
      <c r="O114" s="1" t="s">
        <v>17</v>
      </c>
      <c r="P114" s="1">
        <v>1327</v>
      </c>
      <c r="Q114" s="5" t="s">
        <v>27</v>
      </c>
      <c r="R114" s="11" t="s">
        <v>677</v>
      </c>
    </row>
    <row r="115" spans="1:18" x14ac:dyDescent="0.3">
      <c r="A115" s="4">
        <v>114</v>
      </c>
      <c r="B115" s="1" t="s">
        <v>183</v>
      </c>
      <c r="C115" s="1">
        <v>1601221</v>
      </c>
      <c r="D115" s="1" t="s">
        <v>16</v>
      </c>
      <c r="E115" s="1">
        <v>22</v>
      </c>
      <c r="F115" s="1" t="str" cm="1">
        <f t="array" ref="F115">_xlfn.IFS(Table1[[#This Row],[age]]&gt;=50,"senior",Table1[[#This Row],[age]]&gt;20,"adult",Table1[[#This Row],[age]]&lt;=20,"teenager")</f>
        <v>adult</v>
      </c>
      <c r="G115" s="3">
        <v>45503</v>
      </c>
      <c r="H115" s="1" t="str">
        <f>TEXT(Table1[[#This Row],[date]],"mmm")</f>
        <v>Jul</v>
      </c>
      <c r="I115" s="1" t="s">
        <v>673</v>
      </c>
      <c r="J115" s="1" t="s">
        <v>485</v>
      </c>
      <c r="K115" s="1" t="s">
        <v>39</v>
      </c>
      <c r="L115" s="1" t="s">
        <v>671</v>
      </c>
      <c r="M115" s="1" t="s">
        <v>42</v>
      </c>
      <c r="N115" s="1">
        <v>1</v>
      </c>
      <c r="O115" s="1" t="s">
        <v>17</v>
      </c>
      <c r="P115" s="1">
        <v>1354</v>
      </c>
      <c r="Q115" s="5" t="s">
        <v>27</v>
      </c>
      <c r="R115" s="11" t="s">
        <v>677</v>
      </c>
    </row>
    <row r="116" spans="1:18" x14ac:dyDescent="0.3">
      <c r="A116" s="4">
        <v>115</v>
      </c>
      <c r="B116" s="1" t="s">
        <v>184</v>
      </c>
      <c r="C116" s="1">
        <v>1612332</v>
      </c>
      <c r="D116" s="1" t="s">
        <v>16</v>
      </c>
      <c r="E116" s="1">
        <v>25</v>
      </c>
      <c r="F116" s="1" t="str" cm="1">
        <f t="array" ref="F116">_xlfn.IFS(Table1[[#This Row],[age]]&gt;=50,"senior",Table1[[#This Row],[age]]&gt;20,"adult",Table1[[#This Row],[age]]&lt;=20,"teenager")</f>
        <v>adult</v>
      </c>
      <c r="G116" s="3">
        <v>45504</v>
      </c>
      <c r="H116" s="1" t="str">
        <f>TEXT(Table1[[#This Row],[date]],"mmm")</f>
        <v>Jul</v>
      </c>
      <c r="I116" s="1" t="s">
        <v>673</v>
      </c>
      <c r="J116" s="1" t="s">
        <v>486</v>
      </c>
      <c r="K116" s="1" t="s">
        <v>39</v>
      </c>
      <c r="L116" s="1" t="s">
        <v>671</v>
      </c>
      <c r="M116" s="1" t="s">
        <v>40</v>
      </c>
      <c r="N116" s="1">
        <v>1</v>
      </c>
      <c r="O116" s="1" t="s">
        <v>17</v>
      </c>
      <c r="P116" s="1">
        <v>1381</v>
      </c>
      <c r="Q116" s="5" t="s">
        <v>27</v>
      </c>
      <c r="R116" s="11" t="s">
        <v>677</v>
      </c>
    </row>
    <row r="117" spans="1:18" x14ac:dyDescent="0.3">
      <c r="A117" s="4">
        <v>116</v>
      </c>
      <c r="B117" s="1" t="s">
        <v>185</v>
      </c>
      <c r="C117" s="1">
        <v>1623443</v>
      </c>
      <c r="D117" s="1" t="s">
        <v>16</v>
      </c>
      <c r="E117" s="1">
        <v>28</v>
      </c>
      <c r="F117" s="1" t="str" cm="1">
        <f t="array" ref="F117">_xlfn.IFS(Table1[[#This Row],[age]]&gt;=50,"senior",Table1[[#This Row],[age]]&gt;20,"adult",Table1[[#This Row],[age]]&lt;=20,"teenager")</f>
        <v>adult</v>
      </c>
      <c r="G117" s="3">
        <v>45505</v>
      </c>
      <c r="H117" s="1" t="str">
        <f>TEXT(Table1[[#This Row],[date]],"mmm")</f>
        <v>Aug</v>
      </c>
      <c r="I117" s="1" t="s">
        <v>673</v>
      </c>
      <c r="J117" s="1" t="s">
        <v>487</v>
      </c>
      <c r="K117" s="1" t="s">
        <v>39</v>
      </c>
      <c r="L117" s="1" t="s">
        <v>68</v>
      </c>
      <c r="M117" s="1" t="s">
        <v>46</v>
      </c>
      <c r="N117" s="1">
        <v>1</v>
      </c>
      <c r="O117" s="1" t="s">
        <v>17</v>
      </c>
      <c r="P117" s="1">
        <v>1408</v>
      </c>
      <c r="Q117" s="5" t="s">
        <v>23</v>
      </c>
      <c r="R117" s="11" t="s">
        <v>677</v>
      </c>
    </row>
    <row r="118" spans="1:18" x14ac:dyDescent="0.3">
      <c r="A118" s="4">
        <v>117</v>
      </c>
      <c r="B118" s="1" t="s">
        <v>186</v>
      </c>
      <c r="C118" s="1">
        <v>1634554</v>
      </c>
      <c r="D118" s="1" t="s">
        <v>16</v>
      </c>
      <c r="E118" s="1">
        <v>31</v>
      </c>
      <c r="F118" s="1" t="str" cm="1">
        <f t="array" ref="F118">_xlfn.IFS(Table1[[#This Row],[age]]&gt;=50,"senior",Table1[[#This Row],[age]]&gt;20,"adult",Table1[[#This Row],[age]]&lt;=20,"teenager")</f>
        <v>adult</v>
      </c>
      <c r="G118" s="3">
        <v>45506</v>
      </c>
      <c r="H118" s="1" t="str">
        <f>TEXT(Table1[[#This Row],[date]],"mmm")</f>
        <v>Aug</v>
      </c>
      <c r="I118" s="1" t="s">
        <v>674</v>
      </c>
      <c r="J118" s="1" t="s">
        <v>488</v>
      </c>
      <c r="K118" s="1" t="s">
        <v>37</v>
      </c>
      <c r="L118" s="1" t="s">
        <v>68</v>
      </c>
      <c r="M118" s="1" t="s">
        <v>47</v>
      </c>
      <c r="N118" s="1">
        <v>1</v>
      </c>
      <c r="O118" s="1" t="s">
        <v>17</v>
      </c>
      <c r="P118" s="1">
        <v>240</v>
      </c>
      <c r="Q118" s="5" t="s">
        <v>23</v>
      </c>
      <c r="R118" s="11" t="s">
        <v>677</v>
      </c>
    </row>
    <row r="119" spans="1:18" x14ac:dyDescent="0.3">
      <c r="A119" s="4">
        <v>118</v>
      </c>
      <c r="B119" s="1" t="s">
        <v>187</v>
      </c>
      <c r="C119" s="1">
        <v>1645665</v>
      </c>
      <c r="D119" s="1" t="s">
        <v>16</v>
      </c>
      <c r="E119" s="1">
        <v>34</v>
      </c>
      <c r="F119" s="1" t="str" cm="1">
        <f t="array" ref="F119">_xlfn.IFS(Table1[[#This Row],[age]]&gt;=50,"senior",Table1[[#This Row],[age]]&gt;20,"adult",Table1[[#This Row],[age]]&lt;=20,"teenager")</f>
        <v>adult</v>
      </c>
      <c r="G119" s="3">
        <v>45507</v>
      </c>
      <c r="H119" s="1" t="str">
        <f>TEXT(Table1[[#This Row],[date]],"mmm")</f>
        <v>Aug</v>
      </c>
      <c r="I119" s="1" t="s">
        <v>674</v>
      </c>
      <c r="J119" s="1" t="s">
        <v>489</v>
      </c>
      <c r="K119" s="1" t="s">
        <v>37</v>
      </c>
      <c r="L119" s="1" t="s">
        <v>68</v>
      </c>
      <c r="M119" s="1" t="s">
        <v>47</v>
      </c>
      <c r="N119" s="1">
        <v>1</v>
      </c>
      <c r="O119" s="1" t="s">
        <v>17</v>
      </c>
      <c r="P119" s="1">
        <v>450</v>
      </c>
      <c r="Q119" s="5" t="s">
        <v>23</v>
      </c>
      <c r="R119" s="11" t="s">
        <v>677</v>
      </c>
    </row>
    <row r="120" spans="1:18" x14ac:dyDescent="0.3">
      <c r="A120" s="4">
        <v>119</v>
      </c>
      <c r="B120" s="1" t="s">
        <v>188</v>
      </c>
      <c r="C120" s="1">
        <v>1656776</v>
      </c>
      <c r="D120" s="1" t="s">
        <v>16</v>
      </c>
      <c r="E120" s="1">
        <v>18</v>
      </c>
      <c r="F120" s="1" t="str" cm="1">
        <f t="array" ref="F120">_xlfn.IFS(Table1[[#This Row],[age]]&gt;=50,"senior",Table1[[#This Row],[age]]&gt;20,"adult",Table1[[#This Row],[age]]&lt;=20,"teenager")</f>
        <v>teenager</v>
      </c>
      <c r="G120" s="3">
        <v>45508</v>
      </c>
      <c r="H120" s="1" t="str">
        <f>TEXT(Table1[[#This Row],[date]],"mmm")</f>
        <v>Aug</v>
      </c>
      <c r="I120" s="1" t="s">
        <v>673</v>
      </c>
      <c r="J120" s="1" t="s">
        <v>373</v>
      </c>
      <c r="K120" s="1" t="s">
        <v>37</v>
      </c>
      <c r="L120" s="1" t="s">
        <v>56</v>
      </c>
      <c r="M120" s="1" t="s">
        <v>47</v>
      </c>
      <c r="N120" s="1">
        <v>1</v>
      </c>
      <c r="O120" s="1" t="s">
        <v>17</v>
      </c>
      <c r="P120" s="1">
        <v>660</v>
      </c>
      <c r="Q120" s="5" t="s">
        <v>23</v>
      </c>
      <c r="R120" s="11" t="s">
        <v>677</v>
      </c>
    </row>
    <row r="121" spans="1:18" x14ac:dyDescent="0.3">
      <c r="A121" s="4">
        <v>120</v>
      </c>
      <c r="B121" s="1" t="s">
        <v>189</v>
      </c>
      <c r="C121" s="1">
        <v>1667887</v>
      </c>
      <c r="D121" s="1" t="s">
        <v>16</v>
      </c>
      <c r="E121" s="1">
        <v>19</v>
      </c>
      <c r="F121" s="1" t="str" cm="1">
        <f t="array" ref="F121">_xlfn.IFS(Table1[[#This Row],[age]]&gt;=50,"senior",Table1[[#This Row],[age]]&gt;20,"adult",Table1[[#This Row],[age]]&lt;=20,"teenager")</f>
        <v>teenager</v>
      </c>
      <c r="G121" s="3">
        <v>45509</v>
      </c>
      <c r="H121" s="1" t="str">
        <f>TEXT(Table1[[#This Row],[date]],"mmm")</f>
        <v>Aug</v>
      </c>
      <c r="I121" s="1" t="s">
        <v>673</v>
      </c>
      <c r="J121" s="1" t="s">
        <v>490</v>
      </c>
      <c r="K121" s="1" t="s">
        <v>37</v>
      </c>
      <c r="L121" s="1" t="s">
        <v>65</v>
      </c>
      <c r="M121" s="1" t="s">
        <v>47</v>
      </c>
      <c r="N121" s="1">
        <v>1</v>
      </c>
      <c r="O121" s="1" t="s">
        <v>17</v>
      </c>
      <c r="P121" s="1">
        <v>870</v>
      </c>
      <c r="Q121" s="5" t="s">
        <v>25</v>
      </c>
      <c r="R121" s="11" t="s">
        <v>677</v>
      </c>
    </row>
    <row r="122" spans="1:18" x14ac:dyDescent="0.3">
      <c r="A122" s="4">
        <v>121</v>
      </c>
      <c r="B122" s="1" t="s">
        <v>190</v>
      </c>
      <c r="C122" s="1">
        <v>1678998</v>
      </c>
      <c r="D122" s="1" t="s">
        <v>16</v>
      </c>
      <c r="E122" s="1">
        <v>20</v>
      </c>
      <c r="F122" s="1" t="str" cm="1">
        <f t="array" ref="F122">_xlfn.IFS(Table1[[#This Row],[age]]&gt;=50,"senior",Table1[[#This Row],[age]]&gt;20,"adult",Table1[[#This Row],[age]]&lt;=20,"teenager")</f>
        <v>teenager</v>
      </c>
      <c r="G122" s="3">
        <v>45510</v>
      </c>
      <c r="H122" s="1" t="str">
        <f>TEXT(Table1[[#This Row],[date]],"mmm")</f>
        <v>Aug</v>
      </c>
      <c r="I122" s="1" t="s">
        <v>673</v>
      </c>
      <c r="J122" s="1" t="s">
        <v>491</v>
      </c>
      <c r="K122" s="1" t="s">
        <v>34</v>
      </c>
      <c r="L122" s="1" t="s">
        <v>56</v>
      </c>
      <c r="M122" s="1" t="s">
        <v>45</v>
      </c>
      <c r="N122" s="1">
        <v>1</v>
      </c>
      <c r="O122" s="1" t="s">
        <v>17</v>
      </c>
      <c r="P122" s="1">
        <v>1080</v>
      </c>
      <c r="Q122" s="5" t="s">
        <v>25</v>
      </c>
      <c r="R122" s="11" t="s">
        <v>677</v>
      </c>
    </row>
    <row r="123" spans="1:18" x14ac:dyDescent="0.3">
      <c r="A123" s="4">
        <v>122</v>
      </c>
      <c r="B123" s="1" t="s">
        <v>191</v>
      </c>
      <c r="C123" s="1">
        <v>1690109</v>
      </c>
      <c r="D123" s="1" t="s">
        <v>16</v>
      </c>
      <c r="E123" s="1">
        <v>21</v>
      </c>
      <c r="F123" s="1" t="str" cm="1">
        <f t="array" ref="F123">_xlfn.IFS(Table1[[#This Row],[age]]&gt;=50,"senior",Table1[[#This Row],[age]]&gt;20,"adult",Table1[[#This Row],[age]]&lt;=20,"teenager")</f>
        <v>adult</v>
      </c>
      <c r="G123" s="3">
        <v>45511</v>
      </c>
      <c r="H123" s="1" t="str">
        <f>TEXT(Table1[[#This Row],[date]],"mmm")</f>
        <v>Aug</v>
      </c>
      <c r="I123" s="1" t="s">
        <v>673</v>
      </c>
      <c r="J123" s="1" t="s">
        <v>492</v>
      </c>
      <c r="K123" s="1" t="s">
        <v>34</v>
      </c>
      <c r="L123" s="1" t="s">
        <v>56</v>
      </c>
      <c r="M123" s="1" t="s">
        <v>43</v>
      </c>
      <c r="N123" s="1">
        <v>1</v>
      </c>
      <c r="O123" s="1" t="s">
        <v>17</v>
      </c>
      <c r="P123" s="1">
        <v>1290</v>
      </c>
      <c r="Q123" s="5" t="s">
        <v>25</v>
      </c>
      <c r="R123" s="11" t="s">
        <v>677</v>
      </c>
    </row>
    <row r="124" spans="1:18" x14ac:dyDescent="0.3">
      <c r="A124" s="4">
        <v>123</v>
      </c>
      <c r="B124" s="1" t="s">
        <v>192</v>
      </c>
      <c r="C124" s="1">
        <v>1701220</v>
      </c>
      <c r="D124" s="1" t="s">
        <v>16</v>
      </c>
      <c r="E124" s="1">
        <v>22</v>
      </c>
      <c r="F124" s="1" t="str" cm="1">
        <f t="array" ref="F124">_xlfn.IFS(Table1[[#This Row],[age]]&gt;=50,"senior",Table1[[#This Row],[age]]&gt;20,"adult",Table1[[#This Row],[age]]&lt;=20,"teenager")</f>
        <v>adult</v>
      </c>
      <c r="G124" s="3">
        <v>45512</v>
      </c>
      <c r="H124" s="1" t="str">
        <f>TEXT(Table1[[#This Row],[date]],"mmm")</f>
        <v>Aug</v>
      </c>
      <c r="I124" s="1" t="s">
        <v>673</v>
      </c>
      <c r="J124" s="1" t="s">
        <v>493</v>
      </c>
      <c r="K124" s="1" t="s">
        <v>34</v>
      </c>
      <c r="L124" s="1" t="s">
        <v>56</v>
      </c>
      <c r="M124" s="1" t="s">
        <v>43</v>
      </c>
      <c r="N124" s="1">
        <v>1</v>
      </c>
      <c r="O124" s="1" t="s">
        <v>17</v>
      </c>
      <c r="P124" s="1">
        <v>1500</v>
      </c>
      <c r="Q124" s="5" t="s">
        <v>25</v>
      </c>
      <c r="R124" s="11" t="s">
        <v>677</v>
      </c>
    </row>
    <row r="125" spans="1:18" x14ac:dyDescent="0.3">
      <c r="A125" s="4">
        <v>124</v>
      </c>
      <c r="B125" s="1" t="s">
        <v>193</v>
      </c>
      <c r="C125" s="1">
        <v>1712331</v>
      </c>
      <c r="D125" s="1" t="s">
        <v>16</v>
      </c>
      <c r="E125" s="1">
        <v>23</v>
      </c>
      <c r="F125" s="1" t="str" cm="1">
        <f t="array" ref="F125">_xlfn.IFS(Table1[[#This Row],[age]]&gt;=50,"senior",Table1[[#This Row],[age]]&gt;20,"adult",Table1[[#This Row],[age]]&lt;=20,"teenager")</f>
        <v>adult</v>
      </c>
      <c r="G125" s="3">
        <v>45513</v>
      </c>
      <c r="H125" s="1" t="str">
        <f>TEXT(Table1[[#This Row],[date]],"mmm")</f>
        <v>Aug</v>
      </c>
      <c r="I125" s="1" t="s">
        <v>673</v>
      </c>
      <c r="J125" s="1" t="s">
        <v>494</v>
      </c>
      <c r="K125" s="1" t="s">
        <v>34</v>
      </c>
      <c r="L125" s="1" t="s">
        <v>56</v>
      </c>
      <c r="M125" s="1" t="s">
        <v>43</v>
      </c>
      <c r="N125" s="1">
        <v>1</v>
      </c>
      <c r="O125" s="1" t="s">
        <v>17</v>
      </c>
      <c r="P125" s="1">
        <v>2000</v>
      </c>
      <c r="Q125" s="5" t="s">
        <v>18</v>
      </c>
      <c r="R125" s="11" t="s">
        <v>677</v>
      </c>
    </row>
    <row r="126" spans="1:18" x14ac:dyDescent="0.3">
      <c r="A126" s="4">
        <v>125</v>
      </c>
      <c r="B126" s="1" t="s">
        <v>194</v>
      </c>
      <c r="C126" s="1">
        <v>1723442</v>
      </c>
      <c r="D126" s="1" t="s">
        <v>16</v>
      </c>
      <c r="E126" s="1">
        <v>24</v>
      </c>
      <c r="F126" s="1" t="str" cm="1">
        <f t="array" ref="F126">_xlfn.IFS(Table1[[#This Row],[age]]&gt;=50,"senior",Table1[[#This Row],[age]]&gt;20,"adult",Table1[[#This Row],[age]]&lt;=20,"teenager")</f>
        <v>adult</v>
      </c>
      <c r="G126" s="3">
        <v>45514</v>
      </c>
      <c r="H126" s="1" t="str">
        <f>TEXT(Table1[[#This Row],[date]],"mmm")</f>
        <v>Aug</v>
      </c>
      <c r="I126" s="1" t="s">
        <v>673</v>
      </c>
      <c r="J126" s="1" t="s">
        <v>495</v>
      </c>
      <c r="K126" s="1" t="s">
        <v>38</v>
      </c>
      <c r="L126" s="1" t="s">
        <v>56</v>
      </c>
      <c r="M126" s="1" t="s">
        <v>43</v>
      </c>
      <c r="N126" s="1">
        <v>1</v>
      </c>
      <c r="O126" s="1" t="s">
        <v>17</v>
      </c>
      <c r="P126" s="1">
        <v>2020</v>
      </c>
      <c r="Q126" s="5" t="s">
        <v>18</v>
      </c>
      <c r="R126" s="11" t="s">
        <v>677</v>
      </c>
    </row>
    <row r="127" spans="1:18" x14ac:dyDescent="0.3">
      <c r="A127" s="4">
        <v>126</v>
      </c>
      <c r="B127" s="1" t="s">
        <v>195</v>
      </c>
      <c r="C127" s="1">
        <v>1734553</v>
      </c>
      <c r="D127" s="1" t="s">
        <v>16</v>
      </c>
      <c r="E127" s="1">
        <v>25</v>
      </c>
      <c r="F127" s="1" t="str" cm="1">
        <f t="array" ref="F127">_xlfn.IFS(Table1[[#This Row],[age]]&gt;=50,"senior",Table1[[#This Row],[age]]&gt;20,"adult",Table1[[#This Row],[age]]&lt;=20,"teenager")</f>
        <v>adult</v>
      </c>
      <c r="G127" s="3">
        <v>45515</v>
      </c>
      <c r="H127" s="1" t="str">
        <f>TEXT(Table1[[#This Row],[date]],"mmm")</f>
        <v>Aug</v>
      </c>
      <c r="I127" s="1" t="s">
        <v>675</v>
      </c>
      <c r="J127" s="1" t="s">
        <v>496</v>
      </c>
      <c r="K127" s="1" t="s">
        <v>36</v>
      </c>
      <c r="L127" s="1" t="s">
        <v>68</v>
      </c>
      <c r="M127" s="1" t="s">
        <v>43</v>
      </c>
      <c r="N127" s="1">
        <v>1</v>
      </c>
      <c r="O127" s="1" t="s">
        <v>17</v>
      </c>
      <c r="P127" s="1">
        <v>540</v>
      </c>
      <c r="Q127" s="5" t="s">
        <v>30</v>
      </c>
      <c r="R127" s="11" t="s">
        <v>677</v>
      </c>
    </row>
    <row r="128" spans="1:18" x14ac:dyDescent="0.3">
      <c r="A128" s="4">
        <v>127</v>
      </c>
      <c r="B128" s="1" t="s">
        <v>196</v>
      </c>
      <c r="C128" s="1">
        <v>1745664</v>
      </c>
      <c r="D128" s="1" t="s">
        <v>16</v>
      </c>
      <c r="E128" s="1">
        <v>26</v>
      </c>
      <c r="F128" s="1" t="str" cm="1">
        <f t="array" ref="F128">_xlfn.IFS(Table1[[#This Row],[age]]&gt;=50,"senior",Table1[[#This Row],[age]]&gt;20,"adult",Table1[[#This Row],[age]]&lt;=20,"teenager")</f>
        <v>adult</v>
      </c>
      <c r="G128" s="3">
        <v>45516</v>
      </c>
      <c r="H128" s="1" t="str">
        <f>TEXT(Table1[[#This Row],[date]],"mmm")</f>
        <v>Aug</v>
      </c>
      <c r="I128" s="1" t="s">
        <v>673</v>
      </c>
      <c r="J128" s="1" t="s">
        <v>497</v>
      </c>
      <c r="K128" s="1" t="s">
        <v>36</v>
      </c>
      <c r="L128" s="1" t="s">
        <v>68</v>
      </c>
      <c r="M128" s="1" t="s">
        <v>43</v>
      </c>
      <c r="N128" s="1">
        <v>1</v>
      </c>
      <c r="O128" s="1" t="s">
        <v>17</v>
      </c>
      <c r="P128" s="1">
        <v>2060</v>
      </c>
      <c r="Q128" s="5" t="s">
        <v>24</v>
      </c>
      <c r="R128" s="11" t="s">
        <v>677</v>
      </c>
    </row>
    <row r="129" spans="1:18" x14ac:dyDescent="0.3">
      <c r="A129" s="4">
        <v>128</v>
      </c>
      <c r="B129" s="1" t="s">
        <v>197</v>
      </c>
      <c r="C129" s="1">
        <v>1756775</v>
      </c>
      <c r="D129" s="1" t="s">
        <v>16</v>
      </c>
      <c r="E129" s="1">
        <v>27</v>
      </c>
      <c r="F129" s="1" t="str" cm="1">
        <f t="array" ref="F129">_xlfn.IFS(Table1[[#This Row],[age]]&gt;=50,"senior",Table1[[#This Row],[age]]&gt;20,"adult",Table1[[#This Row],[age]]&lt;=20,"teenager")</f>
        <v>adult</v>
      </c>
      <c r="G129" s="3">
        <v>45517</v>
      </c>
      <c r="H129" s="1" t="str">
        <f>TEXT(Table1[[#This Row],[date]],"mmm")</f>
        <v>Aug</v>
      </c>
      <c r="I129" s="1" t="s">
        <v>673</v>
      </c>
      <c r="J129" s="1" t="s">
        <v>498</v>
      </c>
      <c r="K129" s="1" t="s">
        <v>36</v>
      </c>
      <c r="L129" s="1" t="s">
        <v>68</v>
      </c>
      <c r="M129" s="1" t="s">
        <v>41</v>
      </c>
      <c r="N129" s="1">
        <v>1</v>
      </c>
      <c r="O129" s="1" t="s">
        <v>17</v>
      </c>
      <c r="P129" s="1">
        <v>476</v>
      </c>
      <c r="Q129" s="5" t="s">
        <v>24</v>
      </c>
      <c r="R129" s="11" t="s">
        <v>677</v>
      </c>
    </row>
    <row r="130" spans="1:18" x14ac:dyDescent="0.3">
      <c r="A130" s="4">
        <v>129</v>
      </c>
      <c r="B130" s="1" t="s">
        <v>198</v>
      </c>
      <c r="C130" s="1">
        <v>1767886</v>
      </c>
      <c r="D130" s="1" t="s">
        <v>16</v>
      </c>
      <c r="E130" s="1">
        <v>28</v>
      </c>
      <c r="F130" s="1" t="str" cm="1">
        <f t="array" ref="F130">_xlfn.IFS(Table1[[#This Row],[age]]&gt;=50,"senior",Table1[[#This Row],[age]]&gt;20,"adult",Table1[[#This Row],[age]]&lt;=20,"teenager")</f>
        <v>adult</v>
      </c>
      <c r="G130" s="3">
        <v>45518</v>
      </c>
      <c r="H130" s="1" t="str">
        <f>TEXT(Table1[[#This Row],[date]],"mmm")</f>
        <v>Aug</v>
      </c>
      <c r="I130" s="1" t="s">
        <v>673</v>
      </c>
      <c r="J130" s="1" t="s">
        <v>499</v>
      </c>
      <c r="K130" s="1" t="s">
        <v>35</v>
      </c>
      <c r="L130" s="1" t="s">
        <v>54</v>
      </c>
      <c r="M130" s="1" t="s">
        <v>41</v>
      </c>
      <c r="N130" s="1">
        <v>1</v>
      </c>
      <c r="O130" s="1" t="s">
        <v>17</v>
      </c>
      <c r="P130" s="1">
        <v>489</v>
      </c>
      <c r="Q130" s="5" t="s">
        <v>24</v>
      </c>
      <c r="R130" s="11" t="s">
        <v>677</v>
      </c>
    </row>
    <row r="131" spans="1:18" x14ac:dyDescent="0.3">
      <c r="A131" s="4">
        <v>130</v>
      </c>
      <c r="B131" s="1" t="s">
        <v>199</v>
      </c>
      <c r="C131" s="1">
        <v>1778997</v>
      </c>
      <c r="D131" s="1" t="s">
        <v>16</v>
      </c>
      <c r="E131" s="1">
        <v>29</v>
      </c>
      <c r="F131" s="1" t="str" cm="1">
        <f t="array" ref="F131">_xlfn.IFS(Table1[[#This Row],[age]]&gt;=50,"senior",Table1[[#This Row],[age]]&gt;20,"adult",Table1[[#This Row],[age]]&lt;=20,"teenager")</f>
        <v>adult</v>
      </c>
      <c r="G131" s="3">
        <v>45519</v>
      </c>
      <c r="H131" s="1" t="str">
        <f>TEXT(Table1[[#This Row],[date]],"mmm")</f>
        <v>Aug</v>
      </c>
      <c r="I131" s="1" t="s">
        <v>673</v>
      </c>
      <c r="J131" s="1" t="s">
        <v>500</v>
      </c>
      <c r="K131" s="1" t="s">
        <v>35</v>
      </c>
      <c r="L131" s="1" t="s">
        <v>66</v>
      </c>
      <c r="M131" s="1" t="s">
        <v>41</v>
      </c>
      <c r="N131" s="1">
        <v>1</v>
      </c>
      <c r="O131" s="1" t="s">
        <v>17</v>
      </c>
      <c r="P131" s="1">
        <v>502</v>
      </c>
      <c r="Q131" s="5" t="s">
        <v>24</v>
      </c>
      <c r="R131" s="11" t="s">
        <v>677</v>
      </c>
    </row>
    <row r="132" spans="1:18" x14ac:dyDescent="0.3">
      <c r="A132" s="4">
        <v>131</v>
      </c>
      <c r="B132" s="1" t="s">
        <v>200</v>
      </c>
      <c r="C132" s="1">
        <v>1790108</v>
      </c>
      <c r="D132" s="1" t="s">
        <v>16</v>
      </c>
      <c r="E132" s="1">
        <v>30</v>
      </c>
      <c r="F132" s="1" t="str" cm="1">
        <f t="array" ref="F132">_xlfn.IFS(Table1[[#This Row],[age]]&gt;=50,"senior",Table1[[#This Row],[age]]&gt;20,"adult",Table1[[#This Row],[age]]&lt;=20,"teenager")</f>
        <v>adult</v>
      </c>
      <c r="G132" s="3">
        <v>45520</v>
      </c>
      <c r="H132" s="1" t="str">
        <f>TEXT(Table1[[#This Row],[date]],"mmm")</f>
        <v>Aug</v>
      </c>
      <c r="I132" s="1" t="s">
        <v>673</v>
      </c>
      <c r="J132" s="1" t="s">
        <v>501</v>
      </c>
      <c r="K132" s="1" t="s">
        <v>35</v>
      </c>
      <c r="L132" s="1" t="s">
        <v>66</v>
      </c>
      <c r="M132" s="1" t="s">
        <v>41</v>
      </c>
      <c r="N132" s="1">
        <v>1</v>
      </c>
      <c r="O132" s="1" t="s">
        <v>17</v>
      </c>
      <c r="P132" s="1">
        <v>515</v>
      </c>
      <c r="Q132" s="5" t="s">
        <v>24</v>
      </c>
      <c r="R132" s="11" t="s">
        <v>677</v>
      </c>
    </row>
    <row r="133" spans="1:18" x14ac:dyDescent="0.3">
      <c r="A133" s="4">
        <v>132</v>
      </c>
      <c r="B133" s="1" t="s">
        <v>201</v>
      </c>
      <c r="C133" s="1">
        <v>1801219</v>
      </c>
      <c r="D133" s="1" t="s">
        <v>16</v>
      </c>
      <c r="E133" s="1">
        <v>31</v>
      </c>
      <c r="F133" s="1" t="str" cm="1">
        <f t="array" ref="F133">_xlfn.IFS(Table1[[#This Row],[age]]&gt;=50,"senior",Table1[[#This Row],[age]]&gt;20,"adult",Table1[[#This Row],[age]]&lt;=20,"teenager")</f>
        <v>adult</v>
      </c>
      <c r="G133" s="3">
        <v>45521</v>
      </c>
      <c r="H133" s="1" t="str">
        <f>TEXT(Table1[[#This Row],[date]],"mmm")</f>
        <v>Aug</v>
      </c>
      <c r="I133" s="1" t="s">
        <v>673</v>
      </c>
      <c r="J133" s="1" t="s">
        <v>502</v>
      </c>
      <c r="K133" s="1" t="s">
        <v>35</v>
      </c>
      <c r="L133" s="1" t="s">
        <v>66</v>
      </c>
      <c r="M133" s="1" t="s">
        <v>40</v>
      </c>
      <c r="N133" s="1">
        <v>1</v>
      </c>
      <c r="O133" s="1" t="s">
        <v>17</v>
      </c>
      <c r="P133" s="1">
        <v>700</v>
      </c>
      <c r="Q133" s="5" t="s">
        <v>24</v>
      </c>
      <c r="R133" s="11" t="s">
        <v>677</v>
      </c>
    </row>
    <row r="134" spans="1:18" x14ac:dyDescent="0.3">
      <c r="A134" s="4">
        <v>133</v>
      </c>
      <c r="B134" s="1" t="s">
        <v>202</v>
      </c>
      <c r="C134" s="1">
        <v>1812330</v>
      </c>
      <c r="D134" s="1" t="s">
        <v>15</v>
      </c>
      <c r="E134" s="1">
        <v>32</v>
      </c>
      <c r="F134" s="1" t="str" cm="1">
        <f t="array" ref="F134">_xlfn.IFS(Table1[[#This Row],[age]]&gt;=50,"senior",Table1[[#This Row],[age]]&gt;20,"adult",Table1[[#This Row],[age]]&lt;=20,"teenager")</f>
        <v>adult</v>
      </c>
      <c r="G134" s="3">
        <v>45522</v>
      </c>
      <c r="H134" s="1" t="str">
        <f>TEXT(Table1[[#This Row],[date]],"mmm")</f>
        <v>Aug</v>
      </c>
      <c r="I134" s="1" t="s">
        <v>673</v>
      </c>
      <c r="J134" s="1" t="s">
        <v>503</v>
      </c>
      <c r="K134" s="1" t="s">
        <v>35</v>
      </c>
      <c r="L134" s="1" t="s">
        <v>66</v>
      </c>
      <c r="M134" s="1" t="s">
        <v>40</v>
      </c>
      <c r="N134" s="1">
        <v>1</v>
      </c>
      <c r="O134" s="1" t="s">
        <v>17</v>
      </c>
      <c r="P134" s="1">
        <v>789</v>
      </c>
      <c r="Q134" s="5" t="s">
        <v>24</v>
      </c>
      <c r="R134" s="11" t="s">
        <v>677</v>
      </c>
    </row>
    <row r="135" spans="1:18" x14ac:dyDescent="0.3">
      <c r="A135" s="4">
        <v>134</v>
      </c>
      <c r="B135" s="1" t="s">
        <v>203</v>
      </c>
      <c r="C135" s="1">
        <v>1823441</v>
      </c>
      <c r="D135" s="1" t="s">
        <v>15</v>
      </c>
      <c r="E135" s="1">
        <v>33</v>
      </c>
      <c r="F135" s="1" t="str" cm="1">
        <f t="array" ref="F135">_xlfn.IFS(Table1[[#This Row],[age]]&gt;=50,"senior",Table1[[#This Row],[age]]&gt;20,"adult",Table1[[#This Row],[age]]&lt;=20,"teenager")</f>
        <v>adult</v>
      </c>
      <c r="G135" s="3">
        <v>45523</v>
      </c>
      <c r="H135" s="1" t="str">
        <f>TEXT(Table1[[#This Row],[date]],"mmm")</f>
        <v>Aug</v>
      </c>
      <c r="I135" s="1" t="s">
        <v>673</v>
      </c>
      <c r="J135" s="1" t="s">
        <v>504</v>
      </c>
      <c r="K135" s="1" t="s">
        <v>38</v>
      </c>
      <c r="L135" s="1" t="s">
        <v>57</v>
      </c>
      <c r="M135" s="1" t="s">
        <v>40</v>
      </c>
      <c r="N135" s="1">
        <v>1</v>
      </c>
      <c r="O135" s="1" t="s">
        <v>17</v>
      </c>
      <c r="P135" s="1">
        <v>878</v>
      </c>
      <c r="Q135" s="5" t="s">
        <v>24</v>
      </c>
      <c r="R135" s="11" t="s">
        <v>677</v>
      </c>
    </row>
    <row r="136" spans="1:18" x14ac:dyDescent="0.3">
      <c r="A136" s="4">
        <v>135</v>
      </c>
      <c r="B136" s="1" t="s">
        <v>204</v>
      </c>
      <c r="C136" s="1">
        <v>1834552</v>
      </c>
      <c r="D136" s="1" t="s">
        <v>15</v>
      </c>
      <c r="E136" s="1">
        <v>50</v>
      </c>
      <c r="F136" s="1" t="str" cm="1">
        <f t="array" ref="F136">_xlfn.IFS(Table1[[#This Row],[age]]&gt;=50,"senior",Table1[[#This Row],[age]]&gt;20,"adult",Table1[[#This Row],[age]]&lt;=20,"teenager")</f>
        <v>senior</v>
      </c>
      <c r="G136" s="3">
        <v>45524</v>
      </c>
      <c r="H136" s="1" t="str">
        <f>TEXT(Table1[[#This Row],[date]],"mmm")</f>
        <v>Aug</v>
      </c>
      <c r="I136" s="1" t="s">
        <v>673</v>
      </c>
      <c r="J136" s="1" t="s">
        <v>505</v>
      </c>
      <c r="K136" s="1" t="s">
        <v>38</v>
      </c>
      <c r="L136" s="1" t="s">
        <v>54</v>
      </c>
      <c r="M136" s="1" t="s">
        <v>40</v>
      </c>
      <c r="N136" s="1">
        <v>1</v>
      </c>
      <c r="O136" s="1" t="s">
        <v>17</v>
      </c>
      <c r="P136" s="1">
        <v>967</v>
      </c>
      <c r="Q136" s="5" t="s">
        <v>33</v>
      </c>
      <c r="R136" s="11" t="s">
        <v>677</v>
      </c>
    </row>
    <row r="137" spans="1:18" x14ac:dyDescent="0.3">
      <c r="A137" s="4">
        <v>136</v>
      </c>
      <c r="B137" s="1" t="s">
        <v>205</v>
      </c>
      <c r="C137" s="1">
        <v>1845663</v>
      </c>
      <c r="D137" s="1" t="s">
        <v>15</v>
      </c>
      <c r="E137" s="1">
        <v>35</v>
      </c>
      <c r="F137" s="1" t="str" cm="1">
        <f t="array" ref="F137">_xlfn.IFS(Table1[[#This Row],[age]]&gt;=50,"senior",Table1[[#This Row],[age]]&gt;20,"adult",Table1[[#This Row],[age]]&lt;=20,"teenager")</f>
        <v>adult</v>
      </c>
      <c r="G137" s="3">
        <v>45525</v>
      </c>
      <c r="H137" s="1" t="str">
        <f>TEXT(Table1[[#This Row],[date]],"mmm")</f>
        <v>Aug</v>
      </c>
      <c r="I137" s="1" t="s">
        <v>673</v>
      </c>
      <c r="J137" s="1" t="s">
        <v>506</v>
      </c>
      <c r="K137" s="1" t="s">
        <v>48</v>
      </c>
      <c r="L137" s="1" t="s">
        <v>60</v>
      </c>
      <c r="M137" s="1" t="s">
        <v>40</v>
      </c>
      <c r="N137" s="1">
        <v>1</v>
      </c>
      <c r="O137" s="1" t="s">
        <v>17</v>
      </c>
      <c r="P137" s="1">
        <v>1056</v>
      </c>
      <c r="Q137" s="5" t="s">
        <v>29</v>
      </c>
      <c r="R137" s="11" t="s">
        <v>677</v>
      </c>
    </row>
    <row r="138" spans="1:18" x14ac:dyDescent="0.3">
      <c r="A138" s="4">
        <v>137</v>
      </c>
      <c r="B138" s="1" t="s">
        <v>206</v>
      </c>
      <c r="C138" s="1">
        <v>1856774</v>
      </c>
      <c r="D138" s="1" t="s">
        <v>15</v>
      </c>
      <c r="E138" s="1">
        <v>36</v>
      </c>
      <c r="F138" s="1" t="str" cm="1">
        <f t="array" ref="F138">_xlfn.IFS(Table1[[#This Row],[age]]&gt;=50,"senior",Table1[[#This Row],[age]]&gt;20,"adult",Table1[[#This Row],[age]]&lt;=20,"teenager")</f>
        <v>adult</v>
      </c>
      <c r="G138" s="3">
        <v>45526</v>
      </c>
      <c r="H138" s="1" t="str">
        <f>TEXT(Table1[[#This Row],[date]],"mmm")</f>
        <v>Aug</v>
      </c>
      <c r="I138" s="1" t="s">
        <v>673</v>
      </c>
      <c r="J138" s="1" t="s">
        <v>507</v>
      </c>
      <c r="K138" s="1" t="s">
        <v>48</v>
      </c>
      <c r="L138" s="1" t="s">
        <v>59</v>
      </c>
      <c r="M138" s="1" t="s">
        <v>40</v>
      </c>
      <c r="N138" s="1">
        <v>1</v>
      </c>
      <c r="O138" s="1" t="s">
        <v>17</v>
      </c>
      <c r="P138" s="1">
        <v>1145</v>
      </c>
      <c r="Q138" s="5" t="s">
        <v>29</v>
      </c>
      <c r="R138" s="11" t="s">
        <v>677</v>
      </c>
    </row>
    <row r="139" spans="1:18" x14ac:dyDescent="0.3">
      <c r="A139" s="4">
        <v>138</v>
      </c>
      <c r="B139" s="1" t="s">
        <v>207</v>
      </c>
      <c r="C139" s="1">
        <v>1867885</v>
      </c>
      <c r="D139" s="1" t="s">
        <v>16</v>
      </c>
      <c r="E139" s="1">
        <v>33</v>
      </c>
      <c r="F139" s="1" t="str" cm="1">
        <f t="array" ref="F139">_xlfn.IFS(Table1[[#This Row],[age]]&gt;=50,"senior",Table1[[#This Row],[age]]&gt;20,"adult",Table1[[#This Row],[age]]&lt;=20,"teenager")</f>
        <v>adult</v>
      </c>
      <c r="G139" s="3">
        <v>45527</v>
      </c>
      <c r="H139" s="1" t="str">
        <f>TEXT(Table1[[#This Row],[date]],"mmm")</f>
        <v>Aug</v>
      </c>
      <c r="I139" s="1" t="s">
        <v>673</v>
      </c>
      <c r="J139" s="1" t="s">
        <v>508</v>
      </c>
      <c r="K139" s="1" t="s">
        <v>48</v>
      </c>
      <c r="L139" s="1" t="s">
        <v>61</v>
      </c>
      <c r="M139" s="1" t="s">
        <v>40</v>
      </c>
      <c r="N139" s="1">
        <v>1</v>
      </c>
      <c r="O139" s="1" t="s">
        <v>17</v>
      </c>
      <c r="P139" s="1">
        <v>1234</v>
      </c>
      <c r="Q139" s="5" t="s">
        <v>29</v>
      </c>
      <c r="R139" s="11" t="s">
        <v>677</v>
      </c>
    </row>
    <row r="140" spans="1:18" x14ac:dyDescent="0.3">
      <c r="A140" s="4">
        <v>139</v>
      </c>
      <c r="B140" s="1" t="s">
        <v>208</v>
      </c>
      <c r="C140" s="1">
        <v>1878996</v>
      </c>
      <c r="D140" s="1" t="s">
        <v>16</v>
      </c>
      <c r="E140" s="1">
        <v>33</v>
      </c>
      <c r="F140" s="1" t="str" cm="1">
        <f t="array" ref="F140">_xlfn.IFS(Table1[[#This Row],[age]]&gt;=50,"senior",Table1[[#This Row],[age]]&gt;20,"adult",Table1[[#This Row],[age]]&lt;=20,"teenager")</f>
        <v>adult</v>
      </c>
      <c r="G140" s="3">
        <v>45528</v>
      </c>
      <c r="H140" s="1" t="str">
        <f>TEXT(Table1[[#This Row],[date]],"mmm")</f>
        <v>Aug</v>
      </c>
      <c r="I140" s="1" t="s">
        <v>673</v>
      </c>
      <c r="J140" s="1" t="s">
        <v>509</v>
      </c>
      <c r="K140" s="1" t="s">
        <v>48</v>
      </c>
      <c r="L140" s="1" t="s">
        <v>671</v>
      </c>
      <c r="M140" s="1" t="s">
        <v>45</v>
      </c>
      <c r="N140" s="1">
        <v>1</v>
      </c>
      <c r="O140" s="1" t="s">
        <v>17</v>
      </c>
      <c r="P140" s="1">
        <v>1323</v>
      </c>
      <c r="Q140" s="5" t="s">
        <v>29</v>
      </c>
      <c r="R140" s="11" t="s">
        <v>677</v>
      </c>
    </row>
    <row r="141" spans="1:18" x14ac:dyDescent="0.3">
      <c r="A141" s="4">
        <v>140</v>
      </c>
      <c r="B141" s="1" t="s">
        <v>209</v>
      </c>
      <c r="C141" s="1">
        <v>1890107</v>
      </c>
      <c r="D141" s="1" t="s">
        <v>16</v>
      </c>
      <c r="E141" s="1">
        <v>33</v>
      </c>
      <c r="F141" s="1" t="str" cm="1">
        <f t="array" ref="F141">_xlfn.IFS(Table1[[#This Row],[age]]&gt;=50,"senior",Table1[[#This Row],[age]]&gt;20,"adult",Table1[[#This Row],[age]]&lt;=20,"teenager")</f>
        <v>adult</v>
      </c>
      <c r="G141" s="3">
        <v>45529</v>
      </c>
      <c r="H141" s="1" t="str">
        <f>TEXT(Table1[[#This Row],[date]],"mmm")</f>
        <v>Aug</v>
      </c>
      <c r="I141" s="1" t="s">
        <v>673</v>
      </c>
      <c r="J141" s="1" t="s">
        <v>510</v>
      </c>
      <c r="K141" s="1" t="s">
        <v>50</v>
      </c>
      <c r="L141" s="1" t="s">
        <v>671</v>
      </c>
      <c r="M141" s="1" t="s">
        <v>45</v>
      </c>
      <c r="N141" s="1">
        <v>1</v>
      </c>
      <c r="O141" s="1" t="s">
        <v>17</v>
      </c>
      <c r="P141" s="1">
        <v>1412</v>
      </c>
      <c r="Q141" s="5" t="s">
        <v>18</v>
      </c>
      <c r="R141" s="11" t="s">
        <v>677</v>
      </c>
    </row>
    <row r="142" spans="1:18" x14ac:dyDescent="0.3">
      <c r="A142" s="4">
        <v>141</v>
      </c>
      <c r="B142" s="1" t="s">
        <v>210</v>
      </c>
      <c r="C142" s="1">
        <v>1901218</v>
      </c>
      <c r="D142" s="1" t="s">
        <v>16</v>
      </c>
      <c r="E142" s="1">
        <v>33</v>
      </c>
      <c r="F142" s="1" t="str" cm="1">
        <f t="array" ref="F142">_xlfn.IFS(Table1[[#This Row],[age]]&gt;=50,"senior",Table1[[#This Row],[age]]&gt;20,"adult",Table1[[#This Row],[age]]&lt;=20,"teenager")</f>
        <v>adult</v>
      </c>
      <c r="G142" s="3">
        <v>45530</v>
      </c>
      <c r="H142" s="1" t="str">
        <f>TEXT(Table1[[#This Row],[date]],"mmm")</f>
        <v>Aug</v>
      </c>
      <c r="I142" s="1" t="s">
        <v>673</v>
      </c>
      <c r="J142" s="1" t="s">
        <v>511</v>
      </c>
      <c r="K142" s="1" t="s">
        <v>50</v>
      </c>
      <c r="L142" s="1" t="s">
        <v>671</v>
      </c>
      <c r="M142" s="1" t="s">
        <v>45</v>
      </c>
      <c r="N142" s="1">
        <v>1</v>
      </c>
      <c r="O142" s="1" t="s">
        <v>17</v>
      </c>
      <c r="P142" s="1">
        <v>998</v>
      </c>
      <c r="Q142" s="5" t="s">
        <v>23</v>
      </c>
      <c r="R142" s="11" t="s">
        <v>677</v>
      </c>
    </row>
    <row r="143" spans="1:18" x14ac:dyDescent="0.3">
      <c r="A143" s="4">
        <v>142</v>
      </c>
      <c r="B143" s="1" t="s">
        <v>211</v>
      </c>
      <c r="C143" s="1">
        <v>1912329</v>
      </c>
      <c r="D143" s="1" t="s">
        <v>16</v>
      </c>
      <c r="E143" s="1">
        <v>33</v>
      </c>
      <c r="F143" s="1" t="str" cm="1">
        <f t="array" ref="F143">_xlfn.IFS(Table1[[#This Row],[age]]&gt;=50,"senior",Table1[[#This Row],[age]]&gt;20,"adult",Table1[[#This Row],[age]]&lt;=20,"teenager")</f>
        <v>adult</v>
      </c>
      <c r="G143" s="3">
        <v>45531</v>
      </c>
      <c r="H143" s="1" t="str">
        <f>TEXT(Table1[[#This Row],[date]],"mmm")</f>
        <v>Aug</v>
      </c>
      <c r="I143" s="1" t="s">
        <v>673</v>
      </c>
      <c r="J143" s="1" t="s">
        <v>512</v>
      </c>
      <c r="K143" s="1" t="s">
        <v>50</v>
      </c>
      <c r="L143" s="1" t="s">
        <v>671</v>
      </c>
      <c r="M143" s="1" t="s">
        <v>45</v>
      </c>
      <c r="N143" s="1">
        <v>1</v>
      </c>
      <c r="O143" s="1" t="s">
        <v>17</v>
      </c>
      <c r="P143" s="1">
        <v>876</v>
      </c>
      <c r="Q143" s="5" t="s">
        <v>23</v>
      </c>
      <c r="R143" s="11" t="s">
        <v>677</v>
      </c>
    </row>
    <row r="144" spans="1:18" x14ac:dyDescent="0.3">
      <c r="A144" s="4">
        <v>143</v>
      </c>
      <c r="B144" s="1" t="s">
        <v>212</v>
      </c>
      <c r="C144" s="1">
        <v>1923440</v>
      </c>
      <c r="D144" s="1" t="s">
        <v>16</v>
      </c>
      <c r="E144" s="1">
        <v>51</v>
      </c>
      <c r="F144" s="1" t="str" cm="1">
        <f t="array" ref="F144">_xlfn.IFS(Table1[[#This Row],[age]]&gt;=50,"senior",Table1[[#This Row],[age]]&gt;20,"adult",Table1[[#This Row],[age]]&lt;=20,"teenager")</f>
        <v>senior</v>
      </c>
      <c r="G144" s="3">
        <v>45532</v>
      </c>
      <c r="H144" s="1" t="str">
        <f>TEXT(Table1[[#This Row],[date]],"mmm")</f>
        <v>Aug</v>
      </c>
      <c r="I144" s="1" t="s">
        <v>673</v>
      </c>
      <c r="J144" s="1" t="s">
        <v>513</v>
      </c>
      <c r="K144" s="1" t="s">
        <v>50</v>
      </c>
      <c r="L144" s="1" t="s">
        <v>66</v>
      </c>
      <c r="M144" s="1" t="s">
        <v>45</v>
      </c>
      <c r="N144" s="1">
        <v>1</v>
      </c>
      <c r="O144" s="1" t="s">
        <v>17</v>
      </c>
      <c r="P144" s="1">
        <v>876</v>
      </c>
      <c r="Q144" s="5" t="s">
        <v>23</v>
      </c>
      <c r="R144" s="11" t="s">
        <v>677</v>
      </c>
    </row>
    <row r="145" spans="1:18" x14ac:dyDescent="0.3">
      <c r="A145" s="4">
        <v>144</v>
      </c>
      <c r="B145" s="1" t="s">
        <v>213</v>
      </c>
      <c r="C145" s="1">
        <v>1934551</v>
      </c>
      <c r="D145" s="1" t="s">
        <v>16</v>
      </c>
      <c r="E145" s="1">
        <v>20</v>
      </c>
      <c r="F145" s="1" t="str" cm="1">
        <f t="array" ref="F145">_xlfn.IFS(Table1[[#This Row],[age]]&gt;=50,"senior",Table1[[#This Row],[age]]&gt;20,"adult",Table1[[#This Row],[age]]&lt;=20,"teenager")</f>
        <v>teenager</v>
      </c>
      <c r="G145" s="3">
        <v>45533</v>
      </c>
      <c r="H145" s="1" t="str">
        <f>TEXT(Table1[[#This Row],[date]],"mmm")</f>
        <v>Aug</v>
      </c>
      <c r="I145" s="1" t="s">
        <v>673</v>
      </c>
      <c r="J145" s="1" t="s">
        <v>514</v>
      </c>
      <c r="K145" s="1" t="s">
        <v>35</v>
      </c>
      <c r="L145" s="1" t="s">
        <v>66</v>
      </c>
      <c r="M145" s="1" t="s">
        <v>40</v>
      </c>
      <c r="N145" s="1">
        <v>1</v>
      </c>
      <c r="O145" s="1" t="s">
        <v>17</v>
      </c>
      <c r="P145" s="1">
        <v>678</v>
      </c>
      <c r="Q145" s="5" t="s">
        <v>21</v>
      </c>
      <c r="R145" s="11" t="s">
        <v>677</v>
      </c>
    </row>
    <row r="146" spans="1:18" x14ac:dyDescent="0.3">
      <c r="A146" s="4">
        <v>145</v>
      </c>
      <c r="B146" s="1" t="s">
        <v>214</v>
      </c>
      <c r="C146" s="1">
        <v>1945662</v>
      </c>
      <c r="D146" s="1" t="s">
        <v>15</v>
      </c>
      <c r="E146" s="1">
        <v>23</v>
      </c>
      <c r="F146" s="1" t="str" cm="1">
        <f t="array" ref="F146">_xlfn.IFS(Table1[[#This Row],[age]]&gt;=50,"senior",Table1[[#This Row],[age]]&gt;20,"adult",Table1[[#This Row],[age]]&lt;=20,"teenager")</f>
        <v>adult</v>
      </c>
      <c r="G146" s="3">
        <v>45534</v>
      </c>
      <c r="H146" s="1" t="str">
        <f>TEXT(Table1[[#This Row],[date]],"mmm")</f>
        <v>Aug</v>
      </c>
      <c r="I146" s="1" t="s">
        <v>673</v>
      </c>
      <c r="J146" s="1" t="s">
        <v>515</v>
      </c>
      <c r="K146" s="1" t="s">
        <v>38</v>
      </c>
      <c r="L146" s="1" t="s">
        <v>59</v>
      </c>
      <c r="M146" s="1" t="s">
        <v>46</v>
      </c>
      <c r="N146" s="1">
        <v>1</v>
      </c>
      <c r="O146" s="1" t="s">
        <v>17</v>
      </c>
      <c r="P146" s="1">
        <v>699</v>
      </c>
      <c r="Q146" s="5" t="s">
        <v>21</v>
      </c>
      <c r="R146" s="11" t="s">
        <v>677</v>
      </c>
    </row>
    <row r="147" spans="1:18" x14ac:dyDescent="0.3">
      <c r="A147" s="4">
        <v>146</v>
      </c>
      <c r="B147" s="1" t="s">
        <v>215</v>
      </c>
      <c r="C147" s="1">
        <v>1956773</v>
      </c>
      <c r="D147" s="1" t="s">
        <v>15</v>
      </c>
      <c r="E147" s="1">
        <v>26</v>
      </c>
      <c r="F147" s="1" t="str" cm="1">
        <f t="array" ref="F147">_xlfn.IFS(Table1[[#This Row],[age]]&gt;=50,"senior",Table1[[#This Row],[age]]&gt;20,"adult",Table1[[#This Row],[age]]&lt;=20,"teenager")</f>
        <v>adult</v>
      </c>
      <c r="G147" s="3">
        <v>45535</v>
      </c>
      <c r="H147" s="1" t="str">
        <f>TEXT(Table1[[#This Row],[date]],"mmm")</f>
        <v>Aug</v>
      </c>
      <c r="I147" s="1" t="s">
        <v>673</v>
      </c>
      <c r="J147" s="1" t="s">
        <v>516</v>
      </c>
      <c r="K147" s="1" t="s">
        <v>36</v>
      </c>
      <c r="L147" s="1" t="s">
        <v>60</v>
      </c>
      <c r="M147" s="1" t="s">
        <v>46</v>
      </c>
      <c r="N147" s="1">
        <v>1</v>
      </c>
      <c r="O147" s="1" t="s">
        <v>17</v>
      </c>
      <c r="P147" s="1">
        <v>720</v>
      </c>
      <c r="Q147" s="5" t="s">
        <v>21</v>
      </c>
      <c r="R147" s="11" t="s">
        <v>677</v>
      </c>
    </row>
    <row r="148" spans="1:18" x14ac:dyDescent="0.3">
      <c r="A148" s="4">
        <v>147</v>
      </c>
      <c r="B148" s="1" t="s">
        <v>216</v>
      </c>
      <c r="C148" s="1">
        <v>1967884</v>
      </c>
      <c r="D148" s="1" t="s">
        <v>15</v>
      </c>
      <c r="E148" s="1">
        <v>29</v>
      </c>
      <c r="F148" s="1" t="str" cm="1">
        <f t="array" ref="F148">_xlfn.IFS(Table1[[#This Row],[age]]&gt;=50,"senior",Table1[[#This Row],[age]]&gt;20,"adult",Table1[[#This Row],[age]]&lt;=20,"teenager")</f>
        <v>adult</v>
      </c>
      <c r="G148" s="3">
        <v>45536</v>
      </c>
      <c r="H148" s="1" t="str">
        <f>TEXT(Table1[[#This Row],[date]],"mmm")</f>
        <v>Sep</v>
      </c>
      <c r="I148" s="1" t="s">
        <v>673</v>
      </c>
      <c r="J148" s="1" t="s">
        <v>517</v>
      </c>
      <c r="K148" s="1" t="s">
        <v>36</v>
      </c>
      <c r="L148" s="1" t="s">
        <v>60</v>
      </c>
      <c r="M148" s="1" t="s">
        <v>46</v>
      </c>
      <c r="N148" s="1">
        <v>1</v>
      </c>
      <c r="O148" s="1" t="s">
        <v>17</v>
      </c>
      <c r="P148" s="1">
        <v>741</v>
      </c>
      <c r="Q148" s="5" t="s">
        <v>21</v>
      </c>
      <c r="R148" s="11" t="s">
        <v>677</v>
      </c>
    </row>
    <row r="149" spans="1:18" x14ac:dyDescent="0.3">
      <c r="A149" s="4">
        <v>148</v>
      </c>
      <c r="B149" s="1" t="s">
        <v>217</v>
      </c>
      <c r="C149" s="1">
        <v>1978995</v>
      </c>
      <c r="D149" s="1" t="s">
        <v>15</v>
      </c>
      <c r="E149" s="1">
        <v>50</v>
      </c>
      <c r="F149" s="1" t="str" cm="1">
        <f t="array" ref="F149">_xlfn.IFS(Table1[[#This Row],[age]]&gt;=50,"senior",Table1[[#This Row],[age]]&gt;20,"adult",Table1[[#This Row],[age]]&lt;=20,"teenager")</f>
        <v>senior</v>
      </c>
      <c r="G149" s="3">
        <v>45537</v>
      </c>
      <c r="H149" s="1" t="str">
        <f>TEXT(Table1[[#This Row],[date]],"mmm")</f>
        <v>Sep</v>
      </c>
      <c r="I149" s="1" t="s">
        <v>673</v>
      </c>
      <c r="J149" s="1" t="s">
        <v>518</v>
      </c>
      <c r="K149" s="1" t="s">
        <v>37</v>
      </c>
      <c r="L149" s="1" t="s">
        <v>57</v>
      </c>
      <c r="M149" s="1" t="s">
        <v>46</v>
      </c>
      <c r="N149" s="1">
        <v>1</v>
      </c>
      <c r="O149" s="1" t="s">
        <v>17</v>
      </c>
      <c r="P149" s="1">
        <v>762</v>
      </c>
      <c r="Q149" s="5" t="s">
        <v>52</v>
      </c>
      <c r="R149" s="11" t="s">
        <v>677</v>
      </c>
    </row>
    <row r="150" spans="1:18" x14ac:dyDescent="0.3">
      <c r="A150" s="4">
        <v>149</v>
      </c>
      <c r="B150" s="1" t="s">
        <v>218</v>
      </c>
      <c r="C150" s="1">
        <v>1990106</v>
      </c>
      <c r="D150" s="1" t="s">
        <v>15</v>
      </c>
      <c r="E150" s="1">
        <v>35</v>
      </c>
      <c r="F150" s="1" t="str" cm="1">
        <f t="array" ref="F150">_xlfn.IFS(Table1[[#This Row],[age]]&gt;=50,"senior",Table1[[#This Row],[age]]&gt;20,"adult",Table1[[#This Row],[age]]&lt;=20,"teenager")</f>
        <v>adult</v>
      </c>
      <c r="G150" s="3">
        <v>45538</v>
      </c>
      <c r="H150" s="1" t="str">
        <f>TEXT(Table1[[#This Row],[date]],"mmm")</f>
        <v>Sep</v>
      </c>
      <c r="I150" s="1" t="s">
        <v>673</v>
      </c>
      <c r="J150" s="1" t="s">
        <v>519</v>
      </c>
      <c r="K150" s="1" t="s">
        <v>37</v>
      </c>
      <c r="L150" s="1" t="s">
        <v>54</v>
      </c>
      <c r="M150" s="1" t="s">
        <v>46</v>
      </c>
      <c r="N150" s="1">
        <v>1</v>
      </c>
      <c r="O150" s="1" t="s">
        <v>17</v>
      </c>
      <c r="P150" s="1">
        <v>783</v>
      </c>
      <c r="Q150" s="5" t="s">
        <v>27</v>
      </c>
      <c r="R150" s="11" t="s">
        <v>677</v>
      </c>
    </row>
    <row r="151" spans="1:18" x14ac:dyDescent="0.3">
      <c r="A151" s="4">
        <v>150</v>
      </c>
      <c r="B151" s="1" t="s">
        <v>219</v>
      </c>
      <c r="C151" s="1">
        <v>2001217</v>
      </c>
      <c r="D151" s="1" t="s">
        <v>15</v>
      </c>
      <c r="E151" s="1">
        <v>38</v>
      </c>
      <c r="F151" s="1" t="str" cm="1">
        <f t="array" ref="F151">_xlfn.IFS(Table1[[#This Row],[age]]&gt;=50,"senior",Table1[[#This Row],[age]]&gt;20,"adult",Table1[[#This Row],[age]]&lt;=20,"teenager")</f>
        <v>adult</v>
      </c>
      <c r="G151" s="3">
        <v>45539</v>
      </c>
      <c r="H151" s="1" t="str">
        <f>TEXT(Table1[[#This Row],[date]],"mmm")</f>
        <v>Sep</v>
      </c>
      <c r="I151" s="1" t="s">
        <v>673</v>
      </c>
      <c r="J151" s="1" t="s">
        <v>520</v>
      </c>
      <c r="K151" s="1" t="s">
        <v>37</v>
      </c>
      <c r="L151" s="1" t="s">
        <v>61</v>
      </c>
      <c r="M151" s="1" t="s">
        <v>44</v>
      </c>
      <c r="N151" s="1">
        <v>1</v>
      </c>
      <c r="O151" s="1" t="s">
        <v>17</v>
      </c>
      <c r="P151" s="1">
        <v>457</v>
      </c>
      <c r="Q151" s="5" t="s">
        <v>27</v>
      </c>
      <c r="R151" s="11" t="s">
        <v>677</v>
      </c>
    </row>
    <row r="152" spans="1:18" x14ac:dyDescent="0.3">
      <c r="A152" s="4">
        <v>151</v>
      </c>
      <c r="B152" s="1" t="s">
        <v>220</v>
      </c>
      <c r="C152" s="1">
        <v>2012328</v>
      </c>
      <c r="D152" s="1" t="s">
        <v>16</v>
      </c>
      <c r="E152" s="1">
        <v>29</v>
      </c>
      <c r="F152" s="1" t="str" cm="1">
        <f t="array" ref="F152">_xlfn.IFS(Table1[[#This Row],[age]]&gt;=50,"senior",Table1[[#This Row],[age]]&gt;20,"adult",Table1[[#This Row],[age]]&lt;=20,"teenager")</f>
        <v>adult</v>
      </c>
      <c r="G152" s="3">
        <v>45540</v>
      </c>
      <c r="H152" s="1" t="str">
        <f>TEXT(Table1[[#This Row],[date]],"mmm")</f>
        <v>Sep</v>
      </c>
      <c r="I152" s="1" t="s">
        <v>673</v>
      </c>
      <c r="J152" s="1" t="s">
        <v>521</v>
      </c>
      <c r="K152" s="1" t="s">
        <v>37</v>
      </c>
      <c r="L152" s="1" t="s">
        <v>59</v>
      </c>
      <c r="M152" s="1" t="s">
        <v>44</v>
      </c>
      <c r="N152" s="1">
        <v>1</v>
      </c>
      <c r="O152" s="1" t="s">
        <v>17</v>
      </c>
      <c r="P152" s="1">
        <v>800</v>
      </c>
      <c r="Q152" s="5" t="s">
        <v>27</v>
      </c>
      <c r="R152" s="11" t="s">
        <v>677</v>
      </c>
    </row>
    <row r="153" spans="1:18" x14ac:dyDescent="0.3">
      <c r="A153" s="4">
        <v>152</v>
      </c>
      <c r="B153" s="1" t="s">
        <v>221</v>
      </c>
      <c r="C153" s="1">
        <v>2023439</v>
      </c>
      <c r="D153" s="1" t="s">
        <v>16</v>
      </c>
      <c r="E153" s="1">
        <v>30</v>
      </c>
      <c r="F153" s="1" t="str" cm="1">
        <f t="array" ref="F153">_xlfn.IFS(Table1[[#This Row],[age]]&gt;=50,"senior",Table1[[#This Row],[age]]&gt;20,"adult",Table1[[#This Row],[age]]&lt;=20,"teenager")</f>
        <v>adult</v>
      </c>
      <c r="G153" s="3">
        <v>45540</v>
      </c>
      <c r="H153" s="1" t="str">
        <f>TEXT(Table1[[#This Row],[date]],"mmm")</f>
        <v>Sep</v>
      </c>
      <c r="I153" s="1" t="s">
        <v>673</v>
      </c>
      <c r="J153" s="1" t="s">
        <v>522</v>
      </c>
      <c r="K153" s="1" t="s">
        <v>37</v>
      </c>
      <c r="L153" s="1" t="s">
        <v>59</v>
      </c>
      <c r="M153" s="1" t="s">
        <v>44</v>
      </c>
      <c r="N153" s="1">
        <v>1</v>
      </c>
      <c r="O153" s="1" t="s">
        <v>17</v>
      </c>
      <c r="P153" s="1">
        <v>869</v>
      </c>
      <c r="Q153" s="5" t="s">
        <v>27</v>
      </c>
      <c r="R153" s="11" t="s">
        <v>677</v>
      </c>
    </row>
    <row r="154" spans="1:18" x14ac:dyDescent="0.3">
      <c r="A154" s="4">
        <v>153</v>
      </c>
      <c r="B154" s="1" t="s">
        <v>222</v>
      </c>
      <c r="C154" s="1">
        <v>2034550</v>
      </c>
      <c r="D154" s="1" t="s">
        <v>16</v>
      </c>
      <c r="E154" s="1">
        <v>31</v>
      </c>
      <c r="F154" s="1" t="str" cm="1">
        <f t="array" ref="F154">_xlfn.IFS(Table1[[#This Row],[age]]&gt;=50,"senior",Table1[[#This Row],[age]]&gt;20,"adult",Table1[[#This Row],[age]]&lt;=20,"teenager")</f>
        <v>adult</v>
      </c>
      <c r="G154" s="3">
        <v>45540</v>
      </c>
      <c r="H154" s="1" t="str">
        <f>TEXT(Table1[[#This Row],[date]],"mmm")</f>
        <v>Sep</v>
      </c>
      <c r="I154" s="1" t="s">
        <v>673</v>
      </c>
      <c r="J154" s="1" t="s">
        <v>523</v>
      </c>
      <c r="K154" s="1" t="s">
        <v>38</v>
      </c>
      <c r="L154" s="1" t="s">
        <v>59</v>
      </c>
      <c r="M154" s="1" t="s">
        <v>44</v>
      </c>
      <c r="N154" s="1">
        <v>1</v>
      </c>
      <c r="O154" s="1" t="s">
        <v>17</v>
      </c>
      <c r="P154" s="1">
        <v>938</v>
      </c>
      <c r="Q154" s="5" t="s">
        <v>24</v>
      </c>
      <c r="R154" s="11" t="s">
        <v>677</v>
      </c>
    </row>
    <row r="155" spans="1:18" x14ac:dyDescent="0.3">
      <c r="A155" s="4">
        <v>154</v>
      </c>
      <c r="B155" s="1" t="s">
        <v>223</v>
      </c>
      <c r="C155" s="1">
        <v>2045661</v>
      </c>
      <c r="D155" s="1" t="s">
        <v>16</v>
      </c>
      <c r="E155" s="1">
        <v>32</v>
      </c>
      <c r="F155" s="1" t="str" cm="1">
        <f t="array" ref="F155">_xlfn.IFS(Table1[[#This Row],[age]]&gt;=50,"senior",Table1[[#This Row],[age]]&gt;20,"adult",Table1[[#This Row],[age]]&lt;=20,"teenager")</f>
        <v>adult</v>
      </c>
      <c r="G155" s="3">
        <v>45543</v>
      </c>
      <c r="H155" s="1" t="str">
        <f>TEXT(Table1[[#This Row],[date]],"mmm")</f>
        <v>Sep</v>
      </c>
      <c r="I155" s="1" t="s">
        <v>673</v>
      </c>
      <c r="J155" s="1" t="s">
        <v>524</v>
      </c>
      <c r="K155" s="1" t="s">
        <v>38</v>
      </c>
      <c r="L155" s="1" t="s">
        <v>59</v>
      </c>
      <c r="M155" s="1" t="s">
        <v>44</v>
      </c>
      <c r="N155" s="1">
        <v>1</v>
      </c>
      <c r="O155" s="1" t="s">
        <v>17</v>
      </c>
      <c r="P155" s="1">
        <v>1007</v>
      </c>
      <c r="Q155" s="5" t="s">
        <v>18</v>
      </c>
      <c r="R155" s="11" t="s">
        <v>677</v>
      </c>
    </row>
    <row r="156" spans="1:18" x14ac:dyDescent="0.3">
      <c r="A156" s="4">
        <v>155</v>
      </c>
      <c r="B156" s="1" t="s">
        <v>224</v>
      </c>
      <c r="C156" s="1">
        <v>2056772</v>
      </c>
      <c r="D156" s="1" t="s">
        <v>16</v>
      </c>
      <c r="E156" s="1">
        <v>33</v>
      </c>
      <c r="F156" s="1" t="str" cm="1">
        <f t="array" ref="F156">_xlfn.IFS(Table1[[#This Row],[age]]&gt;=50,"senior",Table1[[#This Row],[age]]&gt;20,"adult",Table1[[#This Row],[age]]&lt;=20,"teenager")</f>
        <v>adult</v>
      </c>
      <c r="G156" s="3">
        <v>45544</v>
      </c>
      <c r="H156" s="1" t="str">
        <f>TEXT(Table1[[#This Row],[date]],"mmm")</f>
        <v>Sep</v>
      </c>
      <c r="I156" s="1" t="s">
        <v>673</v>
      </c>
      <c r="J156" s="1" t="s">
        <v>525</v>
      </c>
      <c r="K156" s="1" t="s">
        <v>38</v>
      </c>
      <c r="L156" s="1" t="s">
        <v>59</v>
      </c>
      <c r="M156" s="1" t="s">
        <v>42</v>
      </c>
      <c r="N156" s="1">
        <v>1</v>
      </c>
      <c r="O156" s="1" t="s">
        <v>17</v>
      </c>
      <c r="P156" s="1">
        <v>1076</v>
      </c>
      <c r="Q156" s="5" t="s">
        <v>23</v>
      </c>
      <c r="R156" s="11" t="s">
        <v>677</v>
      </c>
    </row>
    <row r="157" spans="1:18" x14ac:dyDescent="0.3">
      <c r="A157" s="4">
        <v>156</v>
      </c>
      <c r="B157" s="1" t="s">
        <v>225</v>
      </c>
      <c r="C157" s="1">
        <v>2067883</v>
      </c>
      <c r="D157" s="1" t="s">
        <v>16</v>
      </c>
      <c r="E157" s="1">
        <v>34</v>
      </c>
      <c r="F157" s="1" t="str" cm="1">
        <f t="array" ref="F157">_xlfn.IFS(Table1[[#This Row],[age]]&gt;=50,"senior",Table1[[#This Row],[age]]&gt;20,"adult",Table1[[#This Row],[age]]&lt;=20,"teenager")</f>
        <v>adult</v>
      </c>
      <c r="G157" s="3">
        <v>45545</v>
      </c>
      <c r="H157" s="1" t="str">
        <f>TEXT(Table1[[#This Row],[date]],"mmm")</f>
        <v>Sep</v>
      </c>
      <c r="I157" s="1" t="s">
        <v>673</v>
      </c>
      <c r="J157" s="1" t="s">
        <v>526</v>
      </c>
      <c r="K157" s="1" t="s">
        <v>38</v>
      </c>
      <c r="L157" s="1" t="s">
        <v>67</v>
      </c>
      <c r="M157" s="1" t="s">
        <v>42</v>
      </c>
      <c r="N157" s="1">
        <v>1</v>
      </c>
      <c r="O157" s="1" t="s">
        <v>17</v>
      </c>
      <c r="P157" s="1">
        <v>345</v>
      </c>
      <c r="Q157" s="5" t="s">
        <v>33</v>
      </c>
      <c r="R157" s="11" t="s">
        <v>677</v>
      </c>
    </row>
    <row r="158" spans="1:18" x14ac:dyDescent="0.3">
      <c r="A158" s="4">
        <v>157</v>
      </c>
      <c r="B158" s="1" t="s">
        <v>226</v>
      </c>
      <c r="C158" s="1">
        <v>2078994</v>
      </c>
      <c r="D158" s="1" t="s">
        <v>16</v>
      </c>
      <c r="E158" s="1">
        <v>35</v>
      </c>
      <c r="F158" s="1" t="str" cm="1">
        <f t="array" ref="F158">_xlfn.IFS(Table1[[#This Row],[age]]&gt;=50,"senior",Table1[[#This Row],[age]]&gt;20,"adult",Table1[[#This Row],[age]]&lt;=20,"teenager")</f>
        <v>adult</v>
      </c>
      <c r="G158" s="3">
        <v>45546</v>
      </c>
      <c r="H158" s="1" t="str">
        <f>TEXT(Table1[[#This Row],[date]],"mmm")</f>
        <v>Sep</v>
      </c>
      <c r="I158" s="1" t="s">
        <v>673</v>
      </c>
      <c r="J158" s="1" t="s">
        <v>527</v>
      </c>
      <c r="K158" s="1" t="s">
        <v>38</v>
      </c>
      <c r="L158" s="1" t="s">
        <v>67</v>
      </c>
      <c r="M158" s="1" t="s">
        <v>42</v>
      </c>
      <c r="N158" s="1">
        <v>1</v>
      </c>
      <c r="O158" s="1" t="s">
        <v>17</v>
      </c>
      <c r="P158" s="1">
        <v>380</v>
      </c>
      <c r="Q158" s="5" t="s">
        <v>21</v>
      </c>
      <c r="R158" s="11" t="s">
        <v>677</v>
      </c>
    </row>
    <row r="159" spans="1:18" x14ac:dyDescent="0.3">
      <c r="A159" s="4">
        <v>158</v>
      </c>
      <c r="B159" s="1" t="s">
        <v>227</v>
      </c>
      <c r="C159" s="1">
        <v>2090105</v>
      </c>
      <c r="D159" s="1" t="s">
        <v>16</v>
      </c>
      <c r="E159" s="1">
        <v>20</v>
      </c>
      <c r="F159" s="1" t="str" cm="1">
        <f t="array" ref="F159">_xlfn.IFS(Table1[[#This Row],[age]]&gt;=50,"senior",Table1[[#This Row],[age]]&gt;20,"adult",Table1[[#This Row],[age]]&lt;=20,"teenager")</f>
        <v>teenager</v>
      </c>
      <c r="G159" s="3">
        <v>45547</v>
      </c>
      <c r="H159" s="1" t="str">
        <f>TEXT(Table1[[#This Row],[date]],"mmm")</f>
        <v>Sep</v>
      </c>
      <c r="I159" s="1" t="s">
        <v>673</v>
      </c>
      <c r="J159" s="1" t="s">
        <v>528</v>
      </c>
      <c r="K159" s="1" t="s">
        <v>38</v>
      </c>
      <c r="L159" s="1" t="s">
        <v>67</v>
      </c>
      <c r="M159" s="1" t="s">
        <v>41</v>
      </c>
      <c r="N159" s="1">
        <v>1</v>
      </c>
      <c r="O159" s="1" t="s">
        <v>17</v>
      </c>
      <c r="P159" s="1">
        <v>415</v>
      </c>
      <c r="Q159" s="5" t="s">
        <v>21</v>
      </c>
      <c r="R159" s="11" t="s">
        <v>677</v>
      </c>
    </row>
    <row r="160" spans="1:18" x14ac:dyDescent="0.3">
      <c r="A160" s="4">
        <v>159</v>
      </c>
      <c r="B160" s="1" t="s">
        <v>228</v>
      </c>
      <c r="C160" s="1">
        <v>2101216</v>
      </c>
      <c r="D160" s="1" t="s">
        <v>16</v>
      </c>
      <c r="E160" s="1">
        <v>45</v>
      </c>
      <c r="F160" s="1" t="str" cm="1">
        <f t="array" ref="F160">_xlfn.IFS(Table1[[#This Row],[age]]&gt;=50,"senior",Table1[[#This Row],[age]]&gt;20,"adult",Table1[[#This Row],[age]]&lt;=20,"teenager")</f>
        <v>adult</v>
      </c>
      <c r="G160" s="3">
        <v>45548</v>
      </c>
      <c r="H160" s="1" t="str">
        <f>TEXT(Table1[[#This Row],[date]],"mmm")</f>
        <v>Sep</v>
      </c>
      <c r="I160" s="1" t="s">
        <v>673</v>
      </c>
      <c r="J160" s="1" t="s">
        <v>529</v>
      </c>
      <c r="K160" s="1" t="s">
        <v>38</v>
      </c>
      <c r="L160" s="1" t="s">
        <v>67</v>
      </c>
      <c r="M160" s="1" t="s">
        <v>41</v>
      </c>
      <c r="N160" s="1">
        <v>1</v>
      </c>
      <c r="O160" s="1" t="s">
        <v>17</v>
      </c>
      <c r="P160" s="1">
        <v>450</v>
      </c>
      <c r="Q160" s="5" t="s">
        <v>21</v>
      </c>
      <c r="R160" s="11" t="s">
        <v>677</v>
      </c>
    </row>
    <row r="161" spans="1:18" x14ac:dyDescent="0.3">
      <c r="A161" s="4">
        <v>160</v>
      </c>
      <c r="B161" s="1" t="s">
        <v>229</v>
      </c>
      <c r="C161" s="1">
        <v>2112327</v>
      </c>
      <c r="D161" s="1" t="s">
        <v>16</v>
      </c>
      <c r="E161" s="1">
        <v>46</v>
      </c>
      <c r="F161" s="1" t="str" cm="1">
        <f t="array" ref="F161">_xlfn.IFS(Table1[[#This Row],[age]]&gt;=50,"senior",Table1[[#This Row],[age]]&gt;20,"adult",Table1[[#This Row],[age]]&lt;=20,"teenager")</f>
        <v>adult</v>
      </c>
      <c r="G161" s="3">
        <v>45549</v>
      </c>
      <c r="H161" s="1" t="str">
        <f>TEXT(Table1[[#This Row],[date]],"mmm")</f>
        <v>Sep</v>
      </c>
      <c r="I161" s="1" t="s">
        <v>673</v>
      </c>
      <c r="J161" s="1" t="s">
        <v>530</v>
      </c>
      <c r="K161" s="1" t="s">
        <v>38</v>
      </c>
      <c r="L161" s="1" t="s">
        <v>67</v>
      </c>
      <c r="M161" s="1" t="s">
        <v>41</v>
      </c>
      <c r="N161" s="1">
        <v>1</v>
      </c>
      <c r="O161" s="1" t="s">
        <v>17</v>
      </c>
      <c r="P161" s="1">
        <v>485</v>
      </c>
      <c r="Q161" s="5" t="s">
        <v>21</v>
      </c>
      <c r="R161" s="11" t="s">
        <v>677</v>
      </c>
    </row>
    <row r="162" spans="1:18" x14ac:dyDescent="0.3">
      <c r="A162" s="4">
        <v>161</v>
      </c>
      <c r="B162" s="1" t="s">
        <v>230</v>
      </c>
      <c r="C162" s="1">
        <v>2123438</v>
      </c>
      <c r="D162" s="1" t="s">
        <v>16</v>
      </c>
      <c r="E162" s="1">
        <v>20</v>
      </c>
      <c r="F162" s="1" t="str" cm="1">
        <f t="array" ref="F162">_xlfn.IFS(Table1[[#This Row],[age]]&gt;=50,"senior",Table1[[#This Row],[age]]&gt;20,"adult",Table1[[#This Row],[age]]&lt;=20,"teenager")</f>
        <v>teenager</v>
      </c>
      <c r="G162" s="3">
        <v>45550</v>
      </c>
      <c r="H162" s="1" t="str">
        <f>TEXT(Table1[[#This Row],[date]],"mmm")</f>
        <v>Sep</v>
      </c>
      <c r="I162" s="1" t="s">
        <v>673</v>
      </c>
      <c r="J162" s="1" t="s">
        <v>531</v>
      </c>
      <c r="K162" s="1" t="s">
        <v>35</v>
      </c>
      <c r="L162" s="1" t="s">
        <v>61</v>
      </c>
      <c r="M162" s="1" t="s">
        <v>41</v>
      </c>
      <c r="N162" s="1">
        <v>1</v>
      </c>
      <c r="O162" s="1" t="s">
        <v>17</v>
      </c>
      <c r="P162" s="1">
        <v>520</v>
      </c>
      <c r="Q162" s="5" t="s">
        <v>24</v>
      </c>
      <c r="R162" s="11" t="s">
        <v>677</v>
      </c>
    </row>
    <row r="163" spans="1:18" x14ac:dyDescent="0.3">
      <c r="A163" s="4">
        <v>162</v>
      </c>
      <c r="B163" s="1" t="s">
        <v>231</v>
      </c>
      <c r="C163" s="1">
        <v>2134549</v>
      </c>
      <c r="D163" s="1" t="s">
        <v>16</v>
      </c>
      <c r="E163" s="1">
        <v>22</v>
      </c>
      <c r="F163" s="1" t="str" cm="1">
        <f t="array" ref="F163">_xlfn.IFS(Table1[[#This Row],[age]]&gt;=50,"senior",Table1[[#This Row],[age]]&gt;20,"adult",Table1[[#This Row],[age]]&lt;=20,"teenager")</f>
        <v>adult</v>
      </c>
      <c r="G163" s="3">
        <v>45551</v>
      </c>
      <c r="H163" s="1" t="str">
        <f>TEXT(Table1[[#This Row],[date]],"mmm")</f>
        <v>Sep</v>
      </c>
      <c r="I163" s="1" t="s">
        <v>673</v>
      </c>
      <c r="J163" s="1" t="s">
        <v>532</v>
      </c>
      <c r="K163" s="1" t="s">
        <v>35</v>
      </c>
      <c r="L163" s="1" t="s">
        <v>62</v>
      </c>
      <c r="M163" s="1" t="s">
        <v>41</v>
      </c>
      <c r="N163" s="1">
        <v>1</v>
      </c>
      <c r="O163" s="1" t="s">
        <v>17</v>
      </c>
      <c r="P163" s="1">
        <v>555</v>
      </c>
      <c r="Q163" s="5" t="s">
        <v>24</v>
      </c>
      <c r="R163" s="11" t="s">
        <v>677</v>
      </c>
    </row>
    <row r="164" spans="1:18" x14ac:dyDescent="0.3">
      <c r="A164" s="4">
        <v>163</v>
      </c>
      <c r="B164" s="1" t="s">
        <v>232</v>
      </c>
      <c r="C164" s="1">
        <v>2145660</v>
      </c>
      <c r="D164" s="1" t="s">
        <v>16</v>
      </c>
      <c r="E164" s="1">
        <v>24</v>
      </c>
      <c r="F164" s="1" t="str" cm="1">
        <f t="array" ref="F164">_xlfn.IFS(Table1[[#This Row],[age]]&gt;=50,"senior",Table1[[#This Row],[age]]&gt;20,"adult",Table1[[#This Row],[age]]&lt;=20,"teenager")</f>
        <v>adult</v>
      </c>
      <c r="G164" s="3">
        <v>45552</v>
      </c>
      <c r="H164" s="1" t="str">
        <f>TEXT(Table1[[#This Row],[date]],"mmm")</f>
        <v>Sep</v>
      </c>
      <c r="I164" s="1" t="s">
        <v>673</v>
      </c>
      <c r="J164" s="1" t="s">
        <v>533</v>
      </c>
      <c r="K164" s="1" t="s">
        <v>35</v>
      </c>
      <c r="L164" s="1" t="s">
        <v>59</v>
      </c>
      <c r="M164" s="1" t="s">
        <v>41</v>
      </c>
      <c r="N164" s="1">
        <v>1</v>
      </c>
      <c r="O164" s="1" t="s">
        <v>17</v>
      </c>
      <c r="P164" s="1">
        <v>690</v>
      </c>
      <c r="Q164" s="5" t="s">
        <v>24</v>
      </c>
      <c r="R164" s="11" t="s">
        <v>677</v>
      </c>
    </row>
    <row r="165" spans="1:18" x14ac:dyDescent="0.3">
      <c r="A165" s="4">
        <v>164</v>
      </c>
      <c r="B165" s="1" t="s">
        <v>233</v>
      </c>
      <c r="C165" s="1">
        <v>2156771</v>
      </c>
      <c r="D165" s="1" t="s">
        <v>16</v>
      </c>
      <c r="E165" s="1">
        <v>26</v>
      </c>
      <c r="F165" s="1" t="str" cm="1">
        <f t="array" ref="F165">_xlfn.IFS(Table1[[#This Row],[age]]&gt;=50,"senior",Table1[[#This Row],[age]]&gt;20,"adult",Table1[[#This Row],[age]]&lt;=20,"teenager")</f>
        <v>adult</v>
      </c>
      <c r="G165" s="3">
        <v>45553</v>
      </c>
      <c r="H165" s="1" t="str">
        <f>TEXT(Table1[[#This Row],[date]],"mmm")</f>
        <v>Sep</v>
      </c>
      <c r="I165" s="1" t="s">
        <v>673</v>
      </c>
      <c r="J165" s="1" t="s">
        <v>534</v>
      </c>
      <c r="K165" s="1" t="s">
        <v>39</v>
      </c>
      <c r="L165" s="1" t="s">
        <v>59</v>
      </c>
      <c r="M165" s="1" t="s">
        <v>45</v>
      </c>
      <c r="N165" s="1">
        <v>1</v>
      </c>
      <c r="O165" s="1" t="s">
        <v>17</v>
      </c>
      <c r="P165" s="1">
        <v>740</v>
      </c>
      <c r="Q165" s="5" t="s">
        <v>23</v>
      </c>
      <c r="R165" s="11" t="s">
        <v>677</v>
      </c>
    </row>
    <row r="166" spans="1:18" x14ac:dyDescent="0.3">
      <c r="A166" s="4">
        <v>165</v>
      </c>
      <c r="B166" s="1" t="s">
        <v>234</v>
      </c>
      <c r="C166" s="1">
        <v>2167882</v>
      </c>
      <c r="D166" s="1" t="s">
        <v>16</v>
      </c>
      <c r="E166" s="1">
        <v>28</v>
      </c>
      <c r="F166" s="1" t="str" cm="1">
        <f t="array" ref="F166">_xlfn.IFS(Table1[[#This Row],[age]]&gt;=50,"senior",Table1[[#This Row],[age]]&gt;20,"adult",Table1[[#This Row],[age]]&lt;=20,"teenager")</f>
        <v>adult</v>
      </c>
      <c r="G166" s="3">
        <v>45554</v>
      </c>
      <c r="H166" s="1" t="str">
        <f>TEXT(Table1[[#This Row],[date]],"mmm")</f>
        <v>Sep</v>
      </c>
      <c r="I166" s="1" t="s">
        <v>673</v>
      </c>
      <c r="J166" s="1" t="s">
        <v>535</v>
      </c>
      <c r="K166" s="1" t="s">
        <v>39</v>
      </c>
      <c r="L166" s="1" t="s">
        <v>59</v>
      </c>
      <c r="M166" s="1" t="s">
        <v>45</v>
      </c>
      <c r="N166" s="1">
        <v>1</v>
      </c>
      <c r="O166" s="1" t="s">
        <v>17</v>
      </c>
      <c r="P166" s="1">
        <v>790</v>
      </c>
      <c r="Q166" s="5" t="s">
        <v>23</v>
      </c>
      <c r="R166" s="11" t="s">
        <v>677</v>
      </c>
    </row>
    <row r="167" spans="1:18" x14ac:dyDescent="0.3">
      <c r="A167" s="4">
        <v>166</v>
      </c>
      <c r="B167" s="1" t="s">
        <v>235</v>
      </c>
      <c r="C167" s="1">
        <v>2178993</v>
      </c>
      <c r="D167" s="1" t="s">
        <v>15</v>
      </c>
      <c r="E167" s="1">
        <v>30</v>
      </c>
      <c r="F167" s="1" t="str" cm="1">
        <f t="array" ref="F167">_xlfn.IFS(Table1[[#This Row],[age]]&gt;=50,"senior",Table1[[#This Row],[age]]&gt;20,"adult",Table1[[#This Row],[age]]&lt;=20,"teenager")</f>
        <v>adult</v>
      </c>
      <c r="G167" s="3">
        <v>45555</v>
      </c>
      <c r="H167" s="1" t="str">
        <f>TEXT(Table1[[#This Row],[date]],"mmm")</f>
        <v>Sep</v>
      </c>
      <c r="I167" s="1" t="s">
        <v>673</v>
      </c>
      <c r="J167" s="1" t="s">
        <v>536</v>
      </c>
      <c r="K167" s="1" t="s">
        <v>39</v>
      </c>
      <c r="L167" s="1" t="s">
        <v>60</v>
      </c>
      <c r="M167" s="1" t="s">
        <v>45</v>
      </c>
      <c r="N167" s="1">
        <v>1</v>
      </c>
      <c r="O167" s="1" t="s">
        <v>17</v>
      </c>
      <c r="P167" s="1">
        <v>840</v>
      </c>
      <c r="Q167" s="5" t="s">
        <v>23</v>
      </c>
      <c r="R167" s="11" t="s">
        <v>677</v>
      </c>
    </row>
    <row r="168" spans="1:18" x14ac:dyDescent="0.3">
      <c r="A168" s="4">
        <v>167</v>
      </c>
      <c r="B168" s="1" t="s">
        <v>236</v>
      </c>
      <c r="C168" s="1">
        <v>2190104</v>
      </c>
      <c r="D168" s="1" t="s">
        <v>15</v>
      </c>
      <c r="E168" s="1">
        <v>22</v>
      </c>
      <c r="F168" s="1" t="str" cm="1">
        <f t="array" ref="F168">_xlfn.IFS(Table1[[#This Row],[age]]&gt;=50,"senior",Table1[[#This Row],[age]]&gt;20,"adult",Table1[[#This Row],[age]]&lt;=20,"teenager")</f>
        <v>adult</v>
      </c>
      <c r="G168" s="3">
        <v>45556</v>
      </c>
      <c r="H168" s="1" t="str">
        <f>TEXT(Table1[[#This Row],[date]],"mmm")</f>
        <v>Sep</v>
      </c>
      <c r="I168" s="1" t="s">
        <v>673</v>
      </c>
      <c r="J168" s="1" t="s">
        <v>537</v>
      </c>
      <c r="K168" s="1" t="s">
        <v>39</v>
      </c>
      <c r="L168" s="1" t="s">
        <v>60</v>
      </c>
      <c r="M168" s="1" t="s">
        <v>45</v>
      </c>
      <c r="N168" s="1">
        <v>1</v>
      </c>
      <c r="O168" s="1" t="s">
        <v>17</v>
      </c>
      <c r="P168" s="1">
        <v>890</v>
      </c>
      <c r="Q168" s="5" t="s">
        <v>23</v>
      </c>
      <c r="R168" s="11" t="s">
        <v>677</v>
      </c>
    </row>
    <row r="169" spans="1:18" x14ac:dyDescent="0.3">
      <c r="A169" s="4">
        <v>168</v>
      </c>
      <c r="B169" s="1" t="s">
        <v>237</v>
      </c>
      <c r="C169" s="1">
        <v>2201215</v>
      </c>
      <c r="D169" s="1" t="s">
        <v>15</v>
      </c>
      <c r="E169" s="1">
        <v>22</v>
      </c>
      <c r="F169" s="1" t="str" cm="1">
        <f t="array" ref="F169">_xlfn.IFS(Table1[[#This Row],[age]]&gt;=50,"senior",Table1[[#This Row],[age]]&gt;20,"adult",Table1[[#This Row],[age]]&lt;=20,"teenager")</f>
        <v>adult</v>
      </c>
      <c r="G169" s="3">
        <v>45557</v>
      </c>
      <c r="H169" s="1" t="str">
        <f>TEXT(Table1[[#This Row],[date]],"mmm")</f>
        <v>Sep</v>
      </c>
      <c r="I169" s="1" t="s">
        <v>673</v>
      </c>
      <c r="J169" s="1" t="s">
        <v>538</v>
      </c>
      <c r="K169" s="1" t="s">
        <v>38</v>
      </c>
      <c r="L169" s="1" t="s">
        <v>60</v>
      </c>
      <c r="M169" s="1" t="s">
        <v>45</v>
      </c>
      <c r="N169" s="1">
        <v>1</v>
      </c>
      <c r="O169" s="1" t="s">
        <v>17</v>
      </c>
      <c r="P169" s="1">
        <v>940</v>
      </c>
      <c r="Q169" s="5" t="s">
        <v>52</v>
      </c>
      <c r="R169" s="11" t="s">
        <v>677</v>
      </c>
    </row>
    <row r="170" spans="1:18" x14ac:dyDescent="0.3">
      <c r="A170" s="4">
        <v>169</v>
      </c>
      <c r="B170" s="1" t="s">
        <v>238</v>
      </c>
      <c r="C170" s="1">
        <v>2212326</v>
      </c>
      <c r="D170" s="1" t="s">
        <v>15</v>
      </c>
      <c r="E170" s="1">
        <v>33</v>
      </c>
      <c r="F170" s="1" t="str" cm="1">
        <f t="array" ref="F170">_xlfn.IFS(Table1[[#This Row],[age]]&gt;=50,"senior",Table1[[#This Row],[age]]&gt;20,"adult",Table1[[#This Row],[age]]&lt;=20,"teenager")</f>
        <v>adult</v>
      </c>
      <c r="G170" s="3">
        <v>45558</v>
      </c>
      <c r="H170" s="1" t="str">
        <f>TEXT(Table1[[#This Row],[date]],"mmm")</f>
        <v>Sep</v>
      </c>
      <c r="I170" s="1" t="s">
        <v>673</v>
      </c>
      <c r="J170" s="1" t="s">
        <v>539</v>
      </c>
      <c r="K170" s="1" t="s">
        <v>37</v>
      </c>
      <c r="L170" s="1" t="s">
        <v>60</v>
      </c>
      <c r="M170" s="1" t="s">
        <v>45</v>
      </c>
      <c r="N170" s="1">
        <v>1</v>
      </c>
      <c r="O170" s="1" t="s">
        <v>17</v>
      </c>
      <c r="P170" s="1">
        <v>990</v>
      </c>
      <c r="Q170" s="5" t="s">
        <v>29</v>
      </c>
      <c r="R170" s="11" t="s">
        <v>677</v>
      </c>
    </row>
    <row r="171" spans="1:18" x14ac:dyDescent="0.3">
      <c r="A171" s="4">
        <v>170</v>
      </c>
      <c r="B171" s="1" t="s">
        <v>239</v>
      </c>
      <c r="C171" s="1">
        <v>2223437</v>
      </c>
      <c r="D171" s="1" t="s">
        <v>15</v>
      </c>
      <c r="E171" s="1">
        <v>44</v>
      </c>
      <c r="F171" s="1" t="str" cm="1">
        <f t="array" ref="F171">_xlfn.IFS(Table1[[#This Row],[age]]&gt;=50,"senior",Table1[[#This Row],[age]]&gt;20,"adult",Table1[[#This Row],[age]]&lt;=20,"teenager")</f>
        <v>adult</v>
      </c>
      <c r="G171" s="3">
        <v>45559</v>
      </c>
      <c r="H171" s="1" t="str">
        <f>TEXT(Table1[[#This Row],[date]],"mmm")</f>
        <v>Sep</v>
      </c>
      <c r="I171" s="1" t="s">
        <v>673</v>
      </c>
      <c r="J171" s="1" t="s">
        <v>540</v>
      </c>
      <c r="K171" s="1" t="s">
        <v>37</v>
      </c>
      <c r="L171" s="1" t="s">
        <v>61</v>
      </c>
      <c r="M171" s="1" t="s">
        <v>40</v>
      </c>
      <c r="N171" s="1">
        <v>1</v>
      </c>
      <c r="O171" s="1" t="s">
        <v>17</v>
      </c>
      <c r="P171" s="1">
        <v>1040</v>
      </c>
      <c r="Q171" s="5" t="s">
        <v>33</v>
      </c>
      <c r="R171" s="11" t="s">
        <v>677</v>
      </c>
    </row>
    <row r="172" spans="1:18" x14ac:dyDescent="0.3">
      <c r="A172" s="4">
        <v>171</v>
      </c>
      <c r="B172" s="1" t="s">
        <v>240</v>
      </c>
      <c r="C172" s="1">
        <v>2234548</v>
      </c>
      <c r="D172" s="1" t="s">
        <v>15</v>
      </c>
      <c r="E172" s="1">
        <v>55</v>
      </c>
      <c r="F172" s="1" t="str" cm="1">
        <f t="array" ref="F172">_xlfn.IFS(Table1[[#This Row],[age]]&gt;=50,"senior",Table1[[#This Row],[age]]&gt;20,"adult",Table1[[#This Row],[age]]&lt;=20,"teenager")</f>
        <v>senior</v>
      </c>
      <c r="G172" s="3">
        <v>45560</v>
      </c>
      <c r="H172" s="1" t="str">
        <f>TEXT(Table1[[#This Row],[date]],"mmm")</f>
        <v>Sep</v>
      </c>
      <c r="I172" s="1" t="s">
        <v>673</v>
      </c>
      <c r="J172" s="1" t="s">
        <v>541</v>
      </c>
      <c r="K172" s="1" t="s">
        <v>37</v>
      </c>
      <c r="L172" s="1" t="s">
        <v>61</v>
      </c>
      <c r="M172" s="1" t="s">
        <v>40</v>
      </c>
      <c r="N172" s="1">
        <v>1</v>
      </c>
      <c r="O172" s="1" t="s">
        <v>17</v>
      </c>
      <c r="P172" s="1">
        <v>1090</v>
      </c>
      <c r="Q172" s="5" t="s">
        <v>33</v>
      </c>
      <c r="R172" s="11" t="s">
        <v>677</v>
      </c>
    </row>
    <row r="173" spans="1:18" x14ac:dyDescent="0.3">
      <c r="A173" s="4">
        <v>172</v>
      </c>
      <c r="B173" s="1" t="s">
        <v>241</v>
      </c>
      <c r="C173" s="1">
        <v>2245659</v>
      </c>
      <c r="D173" s="1" t="s">
        <v>15</v>
      </c>
      <c r="E173" s="1">
        <v>27</v>
      </c>
      <c r="F173" s="1" t="str" cm="1">
        <f t="array" ref="F173">_xlfn.IFS(Table1[[#This Row],[age]]&gt;=50,"senior",Table1[[#This Row],[age]]&gt;20,"adult",Table1[[#This Row],[age]]&lt;=20,"teenager")</f>
        <v>adult</v>
      </c>
      <c r="G173" s="3">
        <v>45561</v>
      </c>
      <c r="H173" s="1" t="str">
        <f>TEXT(Table1[[#This Row],[date]],"mmm")</f>
        <v>Sep</v>
      </c>
      <c r="I173" s="1" t="s">
        <v>673</v>
      </c>
      <c r="J173" s="1" t="s">
        <v>542</v>
      </c>
      <c r="K173" s="1" t="s">
        <v>37</v>
      </c>
      <c r="L173" s="1" t="s">
        <v>57</v>
      </c>
      <c r="M173" s="1" t="s">
        <v>40</v>
      </c>
      <c r="N173" s="1">
        <v>1</v>
      </c>
      <c r="O173" s="1" t="s">
        <v>17</v>
      </c>
      <c r="P173" s="1">
        <v>1140</v>
      </c>
      <c r="Q173" s="5" t="s">
        <v>33</v>
      </c>
      <c r="R173" s="11" t="s">
        <v>677</v>
      </c>
    </row>
    <row r="174" spans="1:18" x14ac:dyDescent="0.3">
      <c r="A174" s="4">
        <v>173</v>
      </c>
      <c r="B174" s="1" t="s">
        <v>242</v>
      </c>
      <c r="C174" s="1">
        <v>2256770</v>
      </c>
      <c r="D174" s="1" t="s">
        <v>15</v>
      </c>
      <c r="E174" s="1">
        <v>29</v>
      </c>
      <c r="F174" s="1" t="str" cm="1">
        <f t="array" ref="F174">_xlfn.IFS(Table1[[#This Row],[age]]&gt;=50,"senior",Table1[[#This Row],[age]]&gt;20,"adult",Table1[[#This Row],[age]]&lt;=20,"teenager")</f>
        <v>adult</v>
      </c>
      <c r="G174" s="3">
        <v>45562</v>
      </c>
      <c r="H174" s="1" t="str">
        <f>TEXT(Table1[[#This Row],[date]],"mmm")</f>
        <v>Sep</v>
      </c>
      <c r="I174" s="1" t="s">
        <v>673</v>
      </c>
      <c r="J174" s="1" t="s">
        <v>543</v>
      </c>
      <c r="K174" s="1" t="s">
        <v>37</v>
      </c>
      <c r="L174" s="1" t="s">
        <v>57</v>
      </c>
      <c r="M174" s="1" t="s">
        <v>40</v>
      </c>
      <c r="N174" s="1">
        <v>1</v>
      </c>
      <c r="O174" s="1" t="s">
        <v>17</v>
      </c>
      <c r="P174" s="1">
        <v>1190</v>
      </c>
      <c r="Q174" s="5" t="s">
        <v>27</v>
      </c>
      <c r="R174" s="11" t="s">
        <v>677</v>
      </c>
    </row>
    <row r="175" spans="1:18" x14ac:dyDescent="0.3">
      <c r="A175" s="4">
        <v>174</v>
      </c>
      <c r="B175" s="1" t="s">
        <v>243</v>
      </c>
      <c r="C175" s="1">
        <v>2267881</v>
      </c>
      <c r="D175" s="1" t="s">
        <v>15</v>
      </c>
      <c r="E175" s="1">
        <v>31</v>
      </c>
      <c r="F175" s="1" t="str" cm="1">
        <f t="array" ref="F175">_xlfn.IFS(Table1[[#This Row],[age]]&gt;=50,"senior",Table1[[#This Row],[age]]&gt;20,"adult",Table1[[#This Row],[age]]&lt;=20,"teenager")</f>
        <v>adult</v>
      </c>
      <c r="G175" s="3">
        <v>45563</v>
      </c>
      <c r="H175" s="1" t="str">
        <f>TEXT(Table1[[#This Row],[date]],"mmm")</f>
        <v>Sep</v>
      </c>
      <c r="I175" s="1" t="s">
        <v>673</v>
      </c>
      <c r="J175" s="1" t="s">
        <v>544</v>
      </c>
      <c r="K175" s="1" t="s">
        <v>34</v>
      </c>
      <c r="L175" s="1" t="s">
        <v>57</v>
      </c>
      <c r="M175" s="1" t="s">
        <v>43</v>
      </c>
      <c r="N175" s="1">
        <v>1</v>
      </c>
      <c r="O175" s="1" t="s">
        <v>17</v>
      </c>
      <c r="P175" s="1">
        <v>1240</v>
      </c>
      <c r="Q175" s="5" t="s">
        <v>27</v>
      </c>
      <c r="R175" s="11" t="s">
        <v>677</v>
      </c>
    </row>
    <row r="176" spans="1:18" x14ac:dyDescent="0.3">
      <c r="A176" s="4">
        <v>175</v>
      </c>
      <c r="B176" s="1" t="s">
        <v>244</v>
      </c>
      <c r="C176" s="1">
        <v>2278992</v>
      </c>
      <c r="D176" s="1" t="s">
        <v>15</v>
      </c>
      <c r="E176" s="1">
        <v>33</v>
      </c>
      <c r="F176" s="1" t="str" cm="1">
        <f t="array" ref="F176">_xlfn.IFS(Table1[[#This Row],[age]]&gt;=50,"senior",Table1[[#This Row],[age]]&gt;20,"adult",Table1[[#This Row],[age]]&lt;=20,"teenager")</f>
        <v>adult</v>
      </c>
      <c r="G176" s="3">
        <v>45564</v>
      </c>
      <c r="H176" s="1" t="str">
        <f>TEXT(Table1[[#This Row],[date]],"mmm")</f>
        <v>Sep</v>
      </c>
      <c r="I176" s="1" t="s">
        <v>673</v>
      </c>
      <c r="J176" s="1" t="s">
        <v>545</v>
      </c>
      <c r="K176" s="1" t="s">
        <v>34</v>
      </c>
      <c r="L176" s="1" t="s">
        <v>54</v>
      </c>
      <c r="M176" s="1" t="s">
        <v>43</v>
      </c>
      <c r="N176" s="1">
        <v>1</v>
      </c>
      <c r="O176" s="1" t="s">
        <v>17</v>
      </c>
      <c r="P176" s="1">
        <v>1290</v>
      </c>
      <c r="Q176" s="5" t="s">
        <v>27</v>
      </c>
      <c r="R176" s="11" t="s">
        <v>677</v>
      </c>
    </row>
    <row r="177" spans="1:18" x14ac:dyDescent="0.3">
      <c r="A177" s="4">
        <v>176</v>
      </c>
      <c r="B177" s="1" t="s">
        <v>245</v>
      </c>
      <c r="C177" s="1">
        <v>2290103</v>
      </c>
      <c r="D177" s="1" t="s">
        <v>16</v>
      </c>
      <c r="E177" s="1">
        <v>35</v>
      </c>
      <c r="F177" s="1" t="str" cm="1">
        <f t="array" ref="F177">_xlfn.IFS(Table1[[#This Row],[age]]&gt;=50,"senior",Table1[[#This Row],[age]]&gt;20,"adult",Table1[[#This Row],[age]]&lt;=20,"teenager")</f>
        <v>adult</v>
      </c>
      <c r="G177" s="3">
        <v>45565</v>
      </c>
      <c r="H177" s="1" t="str">
        <f>TEXT(Table1[[#This Row],[date]],"mmm")</f>
        <v>Sep</v>
      </c>
      <c r="I177" s="1" t="s">
        <v>673</v>
      </c>
      <c r="J177" s="1" t="s">
        <v>546</v>
      </c>
      <c r="K177" s="1" t="s">
        <v>34</v>
      </c>
      <c r="L177" s="1" t="s">
        <v>65</v>
      </c>
      <c r="M177" s="1" t="s">
        <v>43</v>
      </c>
      <c r="N177" s="1">
        <v>1</v>
      </c>
      <c r="O177" s="1" t="s">
        <v>17</v>
      </c>
      <c r="P177" s="1">
        <v>1340</v>
      </c>
      <c r="Q177" s="5" t="s">
        <v>27</v>
      </c>
      <c r="R177" s="11" t="s">
        <v>677</v>
      </c>
    </row>
    <row r="178" spans="1:18" x14ac:dyDescent="0.3">
      <c r="A178" s="4">
        <v>177</v>
      </c>
      <c r="B178" s="1" t="s">
        <v>246</v>
      </c>
      <c r="C178" s="1">
        <v>2301214</v>
      </c>
      <c r="D178" s="1" t="s">
        <v>16</v>
      </c>
      <c r="E178" s="1">
        <v>37</v>
      </c>
      <c r="F178" s="1" t="str" cm="1">
        <f t="array" ref="F178">_xlfn.IFS(Table1[[#This Row],[age]]&gt;=50,"senior",Table1[[#This Row],[age]]&gt;20,"adult",Table1[[#This Row],[age]]&lt;=20,"teenager")</f>
        <v>adult</v>
      </c>
      <c r="G178" s="3">
        <v>45566</v>
      </c>
      <c r="H178" s="1" t="str">
        <f>TEXT(Table1[[#This Row],[date]],"mmm")</f>
        <v>Oct</v>
      </c>
      <c r="I178" s="1" t="s">
        <v>673</v>
      </c>
      <c r="J178" s="1" t="s">
        <v>547</v>
      </c>
      <c r="K178" s="1" t="s">
        <v>39</v>
      </c>
      <c r="L178" s="1" t="s">
        <v>65</v>
      </c>
      <c r="M178" s="1" t="s">
        <v>43</v>
      </c>
      <c r="N178" s="1">
        <v>1</v>
      </c>
      <c r="O178" s="1" t="s">
        <v>17</v>
      </c>
      <c r="P178" s="1">
        <v>1390</v>
      </c>
      <c r="Q178" s="5" t="s">
        <v>18</v>
      </c>
      <c r="R178" s="11" t="s">
        <v>677</v>
      </c>
    </row>
    <row r="179" spans="1:18" x14ac:dyDescent="0.3">
      <c r="A179" s="4">
        <v>178</v>
      </c>
      <c r="B179" s="1" t="s">
        <v>247</v>
      </c>
      <c r="C179" s="1">
        <v>2312325</v>
      </c>
      <c r="D179" s="1" t="s">
        <v>16</v>
      </c>
      <c r="E179" s="1">
        <v>39</v>
      </c>
      <c r="F179" s="1" t="str" cm="1">
        <f t="array" ref="F179">_xlfn.IFS(Table1[[#This Row],[age]]&gt;=50,"senior",Table1[[#This Row],[age]]&gt;20,"adult",Table1[[#This Row],[age]]&lt;=20,"teenager")</f>
        <v>adult</v>
      </c>
      <c r="G179" s="3">
        <v>45567</v>
      </c>
      <c r="H179" s="1" t="str">
        <f>TEXT(Table1[[#This Row],[date]],"mmm")</f>
        <v>Oct</v>
      </c>
      <c r="I179" s="1" t="s">
        <v>673</v>
      </c>
      <c r="J179" s="1" t="s">
        <v>548</v>
      </c>
      <c r="K179" s="1" t="s">
        <v>39</v>
      </c>
      <c r="L179" s="1" t="s">
        <v>61</v>
      </c>
      <c r="M179" s="1" t="s">
        <v>43</v>
      </c>
      <c r="N179" s="1">
        <v>1</v>
      </c>
      <c r="O179" s="1" t="s">
        <v>17</v>
      </c>
      <c r="P179" s="1">
        <v>2000</v>
      </c>
      <c r="Q179" s="5" t="s">
        <v>18</v>
      </c>
      <c r="R179" s="11" t="s">
        <v>677</v>
      </c>
    </row>
    <row r="180" spans="1:18" x14ac:dyDescent="0.3">
      <c r="A180" s="4">
        <v>179</v>
      </c>
      <c r="B180" s="1" t="s">
        <v>248</v>
      </c>
      <c r="C180" s="1">
        <v>2323436</v>
      </c>
      <c r="D180" s="1" t="s">
        <v>16</v>
      </c>
      <c r="E180" s="1">
        <v>41</v>
      </c>
      <c r="F180" s="1" t="str" cm="1">
        <f t="array" ref="F180">_xlfn.IFS(Table1[[#This Row],[age]]&gt;=50,"senior",Table1[[#This Row],[age]]&gt;20,"adult",Table1[[#This Row],[age]]&lt;=20,"teenager")</f>
        <v>adult</v>
      </c>
      <c r="G180" s="3">
        <v>45568</v>
      </c>
      <c r="H180" s="1" t="str">
        <f>TEXT(Table1[[#This Row],[date]],"mmm")</f>
        <v>Oct</v>
      </c>
      <c r="I180" s="1" t="s">
        <v>673</v>
      </c>
      <c r="J180" s="1" t="s">
        <v>549</v>
      </c>
      <c r="K180" s="1" t="s">
        <v>39</v>
      </c>
      <c r="L180" s="1" t="s">
        <v>61</v>
      </c>
      <c r="M180" s="1" t="s">
        <v>43</v>
      </c>
      <c r="N180" s="1">
        <v>1</v>
      </c>
      <c r="O180" s="1" t="s">
        <v>17</v>
      </c>
      <c r="P180" s="1">
        <v>2087</v>
      </c>
      <c r="Q180" s="5" t="s">
        <v>18</v>
      </c>
      <c r="R180" s="11" t="s">
        <v>677</v>
      </c>
    </row>
    <row r="181" spans="1:18" x14ac:dyDescent="0.3">
      <c r="A181" s="4">
        <v>180</v>
      </c>
      <c r="B181" s="1" t="s">
        <v>249</v>
      </c>
      <c r="C181" s="1">
        <v>2334547</v>
      </c>
      <c r="D181" s="1" t="s">
        <v>16</v>
      </c>
      <c r="E181" s="1">
        <v>43</v>
      </c>
      <c r="F181" s="1" t="str" cm="1">
        <f t="array" ref="F181">_xlfn.IFS(Table1[[#This Row],[age]]&gt;=50,"senior",Table1[[#This Row],[age]]&gt;20,"adult",Table1[[#This Row],[age]]&lt;=20,"teenager")</f>
        <v>adult</v>
      </c>
      <c r="G181" s="3">
        <v>45569</v>
      </c>
      <c r="H181" s="1" t="str">
        <f>TEXT(Table1[[#This Row],[date]],"mmm")</f>
        <v>Oct</v>
      </c>
      <c r="I181" s="1" t="s">
        <v>673</v>
      </c>
      <c r="J181" s="1" t="s">
        <v>550</v>
      </c>
      <c r="K181" s="1" t="s">
        <v>38</v>
      </c>
      <c r="L181" s="1" t="s">
        <v>61</v>
      </c>
      <c r="M181" s="1" t="s">
        <v>43</v>
      </c>
      <c r="N181" s="1">
        <v>1</v>
      </c>
      <c r="O181" s="1" t="s">
        <v>17</v>
      </c>
      <c r="P181" s="1">
        <v>2174</v>
      </c>
      <c r="Q181" s="5" t="s">
        <v>24</v>
      </c>
      <c r="R181" s="11" t="s">
        <v>677</v>
      </c>
    </row>
    <row r="182" spans="1:18" x14ac:dyDescent="0.3">
      <c r="A182" s="4">
        <v>181</v>
      </c>
      <c r="B182" s="1" t="s">
        <v>250</v>
      </c>
      <c r="C182" s="1">
        <v>2345658</v>
      </c>
      <c r="D182" s="1" t="s">
        <v>16</v>
      </c>
      <c r="E182" s="1">
        <v>22</v>
      </c>
      <c r="F182" s="1" t="str" cm="1">
        <f t="array" ref="F182">_xlfn.IFS(Table1[[#This Row],[age]]&gt;=50,"senior",Table1[[#This Row],[age]]&gt;20,"adult",Table1[[#This Row],[age]]&lt;=20,"teenager")</f>
        <v>adult</v>
      </c>
      <c r="G182" s="3">
        <v>45570</v>
      </c>
      <c r="H182" s="1" t="str">
        <f>TEXT(Table1[[#This Row],[date]],"mmm")</f>
        <v>Oct</v>
      </c>
      <c r="I182" s="1" t="s">
        <v>673</v>
      </c>
      <c r="J182" s="1" t="s">
        <v>551</v>
      </c>
      <c r="K182" s="1" t="s">
        <v>38</v>
      </c>
      <c r="L182" s="1" t="s">
        <v>61</v>
      </c>
      <c r="M182" s="1" t="s">
        <v>41</v>
      </c>
      <c r="N182" s="1">
        <v>1</v>
      </c>
      <c r="O182" s="1" t="s">
        <v>17</v>
      </c>
      <c r="P182" s="1">
        <v>2261</v>
      </c>
      <c r="Q182" s="5" t="s">
        <v>24</v>
      </c>
      <c r="R182" s="11" t="s">
        <v>677</v>
      </c>
    </row>
    <row r="183" spans="1:18" x14ac:dyDescent="0.3">
      <c r="A183" s="4">
        <v>182</v>
      </c>
      <c r="B183" s="1" t="s">
        <v>251</v>
      </c>
      <c r="C183" s="1">
        <v>2356769</v>
      </c>
      <c r="D183" s="1" t="s">
        <v>16</v>
      </c>
      <c r="E183" s="1">
        <v>24</v>
      </c>
      <c r="F183" s="1" t="str" cm="1">
        <f t="array" ref="F183">_xlfn.IFS(Table1[[#This Row],[age]]&gt;=50,"senior",Table1[[#This Row],[age]]&gt;20,"adult",Table1[[#This Row],[age]]&lt;=20,"teenager")</f>
        <v>adult</v>
      </c>
      <c r="G183" s="3">
        <v>45570</v>
      </c>
      <c r="H183" s="1" t="str">
        <f>TEXT(Table1[[#This Row],[date]],"mmm")</f>
        <v>Oct</v>
      </c>
      <c r="I183" s="1" t="s">
        <v>673</v>
      </c>
      <c r="J183" s="1" t="s">
        <v>552</v>
      </c>
      <c r="K183" s="1" t="s">
        <v>38</v>
      </c>
      <c r="L183" s="1" t="s">
        <v>60</v>
      </c>
      <c r="M183" s="1" t="s">
        <v>41</v>
      </c>
      <c r="N183" s="1">
        <v>1</v>
      </c>
      <c r="O183" s="1" t="s">
        <v>17</v>
      </c>
      <c r="P183" s="1">
        <v>2348</v>
      </c>
      <c r="Q183" s="5" t="s">
        <v>24</v>
      </c>
      <c r="R183" s="11" t="s">
        <v>677</v>
      </c>
    </row>
    <row r="184" spans="1:18" x14ac:dyDescent="0.3">
      <c r="A184" s="4">
        <v>183</v>
      </c>
      <c r="B184" s="1" t="s">
        <v>252</v>
      </c>
      <c r="C184" s="1">
        <v>2367880</v>
      </c>
      <c r="D184" s="1" t="s">
        <v>16</v>
      </c>
      <c r="E184" s="1">
        <v>26</v>
      </c>
      <c r="F184" s="1" t="str" cm="1">
        <f t="array" ref="F184">_xlfn.IFS(Table1[[#This Row],[age]]&gt;=50,"senior",Table1[[#This Row],[age]]&gt;20,"adult",Table1[[#This Row],[age]]&lt;=20,"teenager")</f>
        <v>adult</v>
      </c>
      <c r="G184" s="3">
        <v>45570</v>
      </c>
      <c r="H184" s="1" t="str">
        <f>TEXT(Table1[[#This Row],[date]],"mmm")</f>
        <v>Oct</v>
      </c>
      <c r="I184" s="1" t="s">
        <v>673</v>
      </c>
      <c r="J184" s="1" t="s">
        <v>553</v>
      </c>
      <c r="K184" s="1" t="s">
        <v>38</v>
      </c>
      <c r="L184" s="1" t="s">
        <v>60</v>
      </c>
      <c r="M184" s="1" t="s">
        <v>41</v>
      </c>
      <c r="N184" s="1">
        <v>1</v>
      </c>
      <c r="O184" s="1" t="s">
        <v>17</v>
      </c>
      <c r="P184" s="1">
        <v>2435</v>
      </c>
      <c r="Q184" s="5" t="s">
        <v>24</v>
      </c>
      <c r="R184" s="11" t="s">
        <v>677</v>
      </c>
    </row>
    <row r="185" spans="1:18" x14ac:dyDescent="0.3">
      <c r="A185" s="4">
        <v>184</v>
      </c>
      <c r="B185" s="1" t="s">
        <v>253</v>
      </c>
      <c r="C185" s="1">
        <v>2378991</v>
      </c>
      <c r="D185" s="1" t="s">
        <v>16</v>
      </c>
      <c r="E185" s="1">
        <v>28</v>
      </c>
      <c r="F185" s="1" t="str" cm="1">
        <f t="array" ref="F185">_xlfn.IFS(Table1[[#This Row],[age]]&gt;=50,"senior",Table1[[#This Row],[age]]&gt;20,"adult",Table1[[#This Row],[age]]&lt;=20,"teenager")</f>
        <v>adult</v>
      </c>
      <c r="G185" s="3">
        <v>45570</v>
      </c>
      <c r="H185" s="1" t="str">
        <f>TEXT(Table1[[#This Row],[date]],"mmm")</f>
        <v>Oct</v>
      </c>
      <c r="I185" s="1" t="s">
        <v>673</v>
      </c>
      <c r="J185" s="1" t="s">
        <v>554</v>
      </c>
      <c r="K185" s="1" t="s">
        <v>38</v>
      </c>
      <c r="L185" s="1" t="s">
        <v>60</v>
      </c>
      <c r="M185" s="1" t="s">
        <v>41</v>
      </c>
      <c r="N185" s="1">
        <v>1</v>
      </c>
      <c r="O185" s="1" t="s">
        <v>17</v>
      </c>
      <c r="P185" s="1">
        <v>2522</v>
      </c>
      <c r="Q185" s="5" t="s">
        <v>24</v>
      </c>
      <c r="R185" s="11" t="s">
        <v>677</v>
      </c>
    </row>
    <row r="186" spans="1:18" x14ac:dyDescent="0.3">
      <c r="A186" s="4">
        <v>185</v>
      </c>
      <c r="B186" s="1" t="s">
        <v>254</v>
      </c>
      <c r="C186" s="1">
        <v>2390102</v>
      </c>
      <c r="D186" s="1" t="s">
        <v>16</v>
      </c>
      <c r="E186" s="1">
        <v>30</v>
      </c>
      <c r="F186" s="1" t="str" cm="1">
        <f t="array" ref="F186">_xlfn.IFS(Table1[[#This Row],[age]]&gt;=50,"senior",Table1[[#This Row],[age]]&gt;20,"adult",Table1[[#This Row],[age]]&lt;=20,"teenager")</f>
        <v>adult</v>
      </c>
      <c r="G186" s="3">
        <v>45570</v>
      </c>
      <c r="H186" s="1" t="str">
        <f>TEXT(Table1[[#This Row],[date]],"mmm")</f>
        <v>Oct</v>
      </c>
      <c r="I186" s="1" t="s">
        <v>673</v>
      </c>
      <c r="J186" s="1" t="s">
        <v>555</v>
      </c>
      <c r="K186" s="1" t="s">
        <v>48</v>
      </c>
      <c r="L186" s="1" t="s">
        <v>59</v>
      </c>
      <c r="M186" s="1" t="s">
        <v>45</v>
      </c>
      <c r="N186" s="1">
        <v>1</v>
      </c>
      <c r="O186" s="1" t="s">
        <v>17</v>
      </c>
      <c r="P186" s="1">
        <v>2609</v>
      </c>
      <c r="Q186" s="5" t="s">
        <v>24</v>
      </c>
      <c r="R186" s="11" t="s">
        <v>677</v>
      </c>
    </row>
    <row r="187" spans="1:18" x14ac:dyDescent="0.3">
      <c r="A187" s="4">
        <v>186</v>
      </c>
      <c r="B187" s="1" t="s">
        <v>255</v>
      </c>
      <c r="C187" s="1">
        <v>2401213</v>
      </c>
      <c r="D187" s="1" t="s">
        <v>16</v>
      </c>
      <c r="E187" s="1">
        <v>32</v>
      </c>
      <c r="F187" s="1" t="str" cm="1">
        <f t="array" ref="F187">_xlfn.IFS(Table1[[#This Row],[age]]&gt;=50,"senior",Table1[[#This Row],[age]]&gt;20,"adult",Table1[[#This Row],[age]]&lt;=20,"teenager")</f>
        <v>adult</v>
      </c>
      <c r="G187" s="3">
        <v>45571</v>
      </c>
      <c r="H187" s="1" t="str">
        <f>TEXT(Table1[[#This Row],[date]],"mmm")</f>
        <v>Oct</v>
      </c>
      <c r="I187" s="1" t="s">
        <v>673</v>
      </c>
      <c r="J187" s="1" t="s">
        <v>556</v>
      </c>
      <c r="K187" s="1" t="s">
        <v>48</v>
      </c>
      <c r="L187" s="1" t="s">
        <v>59</v>
      </c>
      <c r="M187" s="1" t="s">
        <v>45</v>
      </c>
      <c r="N187" s="1">
        <v>1</v>
      </c>
      <c r="O187" s="1" t="s">
        <v>17</v>
      </c>
      <c r="P187" s="1">
        <v>1033</v>
      </c>
      <c r="Q187" s="5" t="s">
        <v>23</v>
      </c>
      <c r="R187" s="11" t="s">
        <v>677</v>
      </c>
    </row>
    <row r="188" spans="1:18" x14ac:dyDescent="0.3">
      <c r="A188" s="4">
        <v>187</v>
      </c>
      <c r="B188" s="1" t="s">
        <v>256</v>
      </c>
      <c r="C188" s="1">
        <v>2412324</v>
      </c>
      <c r="D188" s="1" t="s">
        <v>16</v>
      </c>
      <c r="E188" s="1">
        <v>53</v>
      </c>
      <c r="F188" s="1" t="str" cm="1">
        <f t="array" ref="F188">_xlfn.IFS(Table1[[#This Row],[age]]&gt;=50,"senior",Table1[[#This Row],[age]]&gt;20,"adult",Table1[[#This Row],[age]]&lt;=20,"teenager")</f>
        <v>senior</v>
      </c>
      <c r="G188" s="3">
        <v>45571</v>
      </c>
      <c r="H188" s="1" t="str">
        <f>TEXT(Table1[[#This Row],[date]],"mmm")</f>
        <v>Oct</v>
      </c>
      <c r="I188" s="1" t="s">
        <v>673</v>
      </c>
      <c r="J188" s="1" t="s">
        <v>557</v>
      </c>
      <c r="K188" s="1" t="s">
        <v>48</v>
      </c>
      <c r="L188" s="1" t="s">
        <v>59</v>
      </c>
      <c r="M188" s="1" t="s">
        <v>45</v>
      </c>
      <c r="N188" s="1">
        <v>1</v>
      </c>
      <c r="O188" s="1" t="s">
        <v>17</v>
      </c>
      <c r="P188" s="1">
        <v>1087</v>
      </c>
      <c r="Q188" s="5" t="s">
        <v>23</v>
      </c>
      <c r="R188" s="11" t="s">
        <v>677</v>
      </c>
    </row>
    <row r="189" spans="1:18" x14ac:dyDescent="0.3">
      <c r="A189" s="4">
        <v>188</v>
      </c>
      <c r="B189" s="1" t="s">
        <v>257</v>
      </c>
      <c r="C189" s="1">
        <v>2423435</v>
      </c>
      <c r="D189" s="1" t="s">
        <v>15</v>
      </c>
      <c r="E189" s="1">
        <v>36</v>
      </c>
      <c r="F189" s="1" t="str" cm="1">
        <f t="array" ref="F189">_xlfn.IFS(Table1[[#This Row],[age]]&gt;=50,"senior",Table1[[#This Row],[age]]&gt;20,"adult",Table1[[#This Row],[age]]&lt;=20,"teenager")</f>
        <v>adult</v>
      </c>
      <c r="G189" s="3">
        <v>45571</v>
      </c>
      <c r="H189" s="1" t="str">
        <f>TEXT(Table1[[#This Row],[date]],"mmm")</f>
        <v>Oct</v>
      </c>
      <c r="I189" s="1" t="s">
        <v>673</v>
      </c>
      <c r="J189" s="1" t="s">
        <v>558</v>
      </c>
      <c r="K189" s="1" t="s">
        <v>48</v>
      </c>
      <c r="L189" s="1" t="s">
        <v>61</v>
      </c>
      <c r="M189" s="1" t="s">
        <v>45</v>
      </c>
      <c r="N189" s="1">
        <v>1</v>
      </c>
      <c r="O189" s="1" t="s">
        <v>17</v>
      </c>
      <c r="P189" s="1">
        <v>1141</v>
      </c>
      <c r="Q189" s="5" t="s">
        <v>23</v>
      </c>
      <c r="R189" s="11" t="s">
        <v>677</v>
      </c>
    </row>
    <row r="190" spans="1:18" x14ac:dyDescent="0.3">
      <c r="A190" s="4">
        <v>189</v>
      </c>
      <c r="B190" s="1" t="s">
        <v>258</v>
      </c>
      <c r="C190" s="1">
        <v>2434546</v>
      </c>
      <c r="D190" s="1" t="s">
        <v>15</v>
      </c>
      <c r="E190" s="1">
        <v>30</v>
      </c>
      <c r="F190" s="1" t="str" cm="1">
        <f t="array" ref="F190">_xlfn.IFS(Table1[[#This Row],[age]]&gt;=50,"senior",Table1[[#This Row],[age]]&gt;20,"adult",Table1[[#This Row],[age]]&lt;=20,"teenager")</f>
        <v>adult</v>
      </c>
      <c r="G190" s="3">
        <v>45571</v>
      </c>
      <c r="H190" s="1" t="str">
        <f>TEXT(Table1[[#This Row],[date]],"mmm")</f>
        <v>Oct</v>
      </c>
      <c r="I190" s="1" t="s">
        <v>673</v>
      </c>
      <c r="J190" s="1" t="s">
        <v>559</v>
      </c>
      <c r="K190" s="1" t="s">
        <v>50</v>
      </c>
      <c r="L190" s="1" t="s">
        <v>61</v>
      </c>
      <c r="M190" s="1" t="s">
        <v>45</v>
      </c>
      <c r="N190" s="1">
        <v>1</v>
      </c>
      <c r="O190" s="1" t="s">
        <v>17</v>
      </c>
      <c r="P190" s="1">
        <v>1195</v>
      </c>
      <c r="Q190" s="5" t="s">
        <v>23</v>
      </c>
      <c r="R190" s="11" t="s">
        <v>677</v>
      </c>
    </row>
    <row r="191" spans="1:18" x14ac:dyDescent="0.3">
      <c r="A191" s="4">
        <v>190</v>
      </c>
      <c r="B191" s="1" t="s">
        <v>259</v>
      </c>
      <c r="C191" s="1">
        <v>2445657</v>
      </c>
      <c r="D191" s="1" t="s">
        <v>15</v>
      </c>
      <c r="E191" s="1">
        <v>33</v>
      </c>
      <c r="F191" s="1" t="str" cm="1">
        <f t="array" ref="F191">_xlfn.IFS(Table1[[#This Row],[age]]&gt;=50,"senior",Table1[[#This Row],[age]]&gt;20,"adult",Table1[[#This Row],[age]]&lt;=20,"teenager")</f>
        <v>adult</v>
      </c>
      <c r="G191" s="3">
        <v>45572</v>
      </c>
      <c r="H191" s="1" t="str">
        <f>TEXT(Table1[[#This Row],[date]],"mmm")</f>
        <v>Oct</v>
      </c>
      <c r="I191" s="1" t="s">
        <v>673</v>
      </c>
      <c r="J191" s="1" t="s">
        <v>560</v>
      </c>
      <c r="K191" s="1" t="s">
        <v>50</v>
      </c>
      <c r="L191" s="1" t="s">
        <v>61</v>
      </c>
      <c r="M191" s="1" t="s">
        <v>45</v>
      </c>
      <c r="N191" s="1">
        <v>1</v>
      </c>
      <c r="O191" s="1" t="s">
        <v>17</v>
      </c>
      <c r="P191" s="1">
        <v>1249</v>
      </c>
      <c r="Q191" s="5" t="s">
        <v>33</v>
      </c>
      <c r="R191" s="11" t="s">
        <v>677</v>
      </c>
    </row>
    <row r="192" spans="1:18" x14ac:dyDescent="0.3">
      <c r="A192" s="4">
        <v>191</v>
      </c>
      <c r="B192" s="1" t="s">
        <v>260</v>
      </c>
      <c r="C192" s="1">
        <v>2456768</v>
      </c>
      <c r="D192" s="1" t="s">
        <v>15</v>
      </c>
      <c r="E192" s="1">
        <v>36</v>
      </c>
      <c r="F192" s="1" t="str" cm="1">
        <f t="array" ref="F192">_xlfn.IFS(Table1[[#This Row],[age]]&gt;=50,"senior",Table1[[#This Row],[age]]&gt;20,"adult",Table1[[#This Row],[age]]&lt;=20,"teenager")</f>
        <v>adult</v>
      </c>
      <c r="G192" s="3">
        <v>45573</v>
      </c>
      <c r="H192" s="1" t="str">
        <f>TEXT(Table1[[#This Row],[date]],"mmm")</f>
        <v>Oct</v>
      </c>
      <c r="I192" s="1" t="s">
        <v>673</v>
      </c>
      <c r="J192" s="1" t="s">
        <v>561</v>
      </c>
      <c r="K192" s="1" t="s">
        <v>50</v>
      </c>
      <c r="L192" s="1" t="s">
        <v>60</v>
      </c>
      <c r="M192" s="1" t="s">
        <v>40</v>
      </c>
      <c r="N192" s="1">
        <v>1</v>
      </c>
      <c r="O192" s="1" t="s">
        <v>17</v>
      </c>
      <c r="P192" s="1">
        <v>1303</v>
      </c>
      <c r="Q192" s="5" t="s">
        <v>33</v>
      </c>
      <c r="R192" s="11" t="s">
        <v>677</v>
      </c>
    </row>
    <row r="193" spans="1:18" x14ac:dyDescent="0.3">
      <c r="A193" s="4">
        <v>192</v>
      </c>
      <c r="B193" s="1" t="s">
        <v>261</v>
      </c>
      <c r="C193" s="1">
        <v>2467879</v>
      </c>
      <c r="D193" s="1" t="s">
        <v>15</v>
      </c>
      <c r="E193" s="1">
        <v>39</v>
      </c>
      <c r="F193" s="1" t="str" cm="1">
        <f t="array" ref="F193">_xlfn.IFS(Table1[[#This Row],[age]]&gt;=50,"senior",Table1[[#This Row],[age]]&gt;20,"adult",Table1[[#This Row],[age]]&lt;=20,"teenager")</f>
        <v>adult</v>
      </c>
      <c r="G193" s="3">
        <v>45574</v>
      </c>
      <c r="H193" s="1" t="str">
        <f>TEXT(Table1[[#This Row],[date]],"mmm")</f>
        <v>Oct</v>
      </c>
      <c r="I193" s="1" t="s">
        <v>673</v>
      </c>
      <c r="J193" s="1" t="s">
        <v>562</v>
      </c>
      <c r="K193" s="1" t="s">
        <v>38</v>
      </c>
      <c r="L193" s="1" t="s">
        <v>59</v>
      </c>
      <c r="M193" s="1" t="s">
        <v>40</v>
      </c>
      <c r="N193" s="1">
        <v>1</v>
      </c>
      <c r="O193" s="1" t="s">
        <v>17</v>
      </c>
      <c r="P193" s="1">
        <v>1357</v>
      </c>
      <c r="Q193" s="5" t="s">
        <v>33</v>
      </c>
      <c r="R193" s="11" t="s">
        <v>677</v>
      </c>
    </row>
    <row r="194" spans="1:18" x14ac:dyDescent="0.3">
      <c r="A194" s="4">
        <v>193</v>
      </c>
      <c r="B194" s="1" t="s">
        <v>262</v>
      </c>
      <c r="C194" s="1">
        <v>2478990</v>
      </c>
      <c r="D194" s="1" t="s">
        <v>15</v>
      </c>
      <c r="E194" s="1">
        <v>51</v>
      </c>
      <c r="F194" s="1" t="str" cm="1">
        <f t="array" ref="F194">_xlfn.IFS(Table1[[#This Row],[age]]&gt;=50,"senior",Table1[[#This Row],[age]]&gt;20,"adult",Table1[[#This Row],[age]]&lt;=20,"teenager")</f>
        <v>senior</v>
      </c>
      <c r="G194" s="3">
        <v>45575</v>
      </c>
      <c r="H194" s="1" t="str">
        <f>TEXT(Table1[[#This Row],[date]],"mmm")</f>
        <v>Oct</v>
      </c>
      <c r="I194" s="1" t="s">
        <v>673</v>
      </c>
      <c r="J194" s="1" t="s">
        <v>563</v>
      </c>
      <c r="K194" s="1" t="s">
        <v>49</v>
      </c>
      <c r="L194" s="1" t="s">
        <v>59</v>
      </c>
      <c r="M194" s="1" t="s">
        <v>40</v>
      </c>
      <c r="N194" s="1">
        <v>1</v>
      </c>
      <c r="O194" s="1" t="s">
        <v>17</v>
      </c>
      <c r="P194" s="1">
        <v>1411</v>
      </c>
      <c r="Q194" s="5" t="s">
        <v>33</v>
      </c>
      <c r="R194" s="11" t="s">
        <v>677</v>
      </c>
    </row>
    <row r="195" spans="1:18" x14ac:dyDescent="0.3">
      <c r="A195" s="4">
        <v>194</v>
      </c>
      <c r="B195" s="1" t="s">
        <v>263</v>
      </c>
      <c r="C195" s="1">
        <v>2490101</v>
      </c>
      <c r="D195" s="1" t="s">
        <v>16</v>
      </c>
      <c r="E195" s="1">
        <v>45</v>
      </c>
      <c r="F195" s="1" t="str" cm="1">
        <f t="array" ref="F195">_xlfn.IFS(Table1[[#This Row],[age]]&gt;=50,"senior",Table1[[#This Row],[age]]&gt;20,"adult",Table1[[#This Row],[age]]&lt;=20,"teenager")</f>
        <v>adult</v>
      </c>
      <c r="G195" s="3">
        <v>45576</v>
      </c>
      <c r="H195" s="1" t="str">
        <f>TEXT(Table1[[#This Row],[date]],"mmm")</f>
        <v>Oct</v>
      </c>
      <c r="I195" s="1" t="s">
        <v>673</v>
      </c>
      <c r="J195" s="1" t="s">
        <v>564</v>
      </c>
      <c r="K195" s="1" t="s">
        <v>39</v>
      </c>
      <c r="L195" s="1" t="s">
        <v>56</v>
      </c>
      <c r="M195" s="1" t="s">
        <v>40</v>
      </c>
      <c r="N195" s="1">
        <v>1</v>
      </c>
      <c r="O195" s="1" t="s">
        <v>17</v>
      </c>
      <c r="P195" s="1">
        <v>1465</v>
      </c>
      <c r="Q195" s="5" t="s">
        <v>25</v>
      </c>
      <c r="R195" s="11" t="s">
        <v>677</v>
      </c>
    </row>
    <row r="196" spans="1:18" x14ac:dyDescent="0.3">
      <c r="A196" s="4">
        <v>195</v>
      </c>
      <c r="B196" s="1" t="s">
        <v>264</v>
      </c>
      <c r="C196" s="1">
        <v>2501212</v>
      </c>
      <c r="D196" s="1" t="s">
        <v>15</v>
      </c>
      <c r="E196" s="1">
        <v>48</v>
      </c>
      <c r="F196" s="1" t="str" cm="1">
        <f t="array" ref="F196">_xlfn.IFS(Table1[[#This Row],[age]]&gt;=50,"senior",Table1[[#This Row],[age]]&gt;20,"adult",Table1[[#This Row],[age]]&lt;=20,"teenager")</f>
        <v>adult</v>
      </c>
      <c r="G196" s="3">
        <v>45577</v>
      </c>
      <c r="H196" s="1" t="str">
        <f>TEXT(Table1[[#This Row],[date]],"mmm")</f>
        <v>Oct</v>
      </c>
      <c r="I196" s="1" t="s">
        <v>673</v>
      </c>
      <c r="J196" s="1" t="s">
        <v>565</v>
      </c>
      <c r="K196" s="1" t="s">
        <v>39</v>
      </c>
      <c r="L196" s="1" t="s">
        <v>57</v>
      </c>
      <c r="M196" s="1" t="s">
        <v>40</v>
      </c>
      <c r="N196" s="1">
        <v>1</v>
      </c>
      <c r="O196" s="1" t="s">
        <v>17</v>
      </c>
      <c r="P196" s="1">
        <v>1519</v>
      </c>
      <c r="Q196" s="5" t="s">
        <v>25</v>
      </c>
      <c r="R196" s="11" t="s">
        <v>677</v>
      </c>
    </row>
    <row r="197" spans="1:18" x14ac:dyDescent="0.3">
      <c r="A197" s="4">
        <v>196</v>
      </c>
      <c r="B197" s="1" t="s">
        <v>265</v>
      </c>
      <c r="C197" s="1">
        <v>2512323</v>
      </c>
      <c r="D197" s="1" t="s">
        <v>16</v>
      </c>
      <c r="E197" s="1">
        <v>30</v>
      </c>
      <c r="F197" s="1" t="str" cm="1">
        <f t="array" ref="F197">_xlfn.IFS(Table1[[#This Row],[age]]&gt;=50,"senior",Table1[[#This Row],[age]]&gt;20,"adult",Table1[[#This Row],[age]]&lt;=20,"teenager")</f>
        <v>adult</v>
      </c>
      <c r="G197" s="3">
        <v>45578</v>
      </c>
      <c r="H197" s="1" t="str">
        <f>TEXT(Table1[[#This Row],[date]],"mmm")</f>
        <v>Oct</v>
      </c>
      <c r="I197" s="1" t="s">
        <v>673</v>
      </c>
      <c r="J197" s="1" t="s">
        <v>566</v>
      </c>
      <c r="K197" s="1" t="s">
        <v>39</v>
      </c>
      <c r="L197" s="1" t="s">
        <v>65</v>
      </c>
      <c r="M197" s="1" t="s">
        <v>42</v>
      </c>
      <c r="N197" s="1">
        <v>1</v>
      </c>
      <c r="O197" s="1" t="s">
        <v>17</v>
      </c>
      <c r="P197" s="1">
        <v>705</v>
      </c>
      <c r="Q197" s="5" t="s">
        <v>25</v>
      </c>
      <c r="R197" s="11" t="s">
        <v>677</v>
      </c>
    </row>
    <row r="198" spans="1:18" x14ac:dyDescent="0.3">
      <c r="A198" s="4">
        <v>197</v>
      </c>
      <c r="B198" s="1" t="s">
        <v>266</v>
      </c>
      <c r="C198" s="1">
        <v>2523434</v>
      </c>
      <c r="D198" s="1" t="s">
        <v>15</v>
      </c>
      <c r="E198" s="1">
        <v>30</v>
      </c>
      <c r="F198" s="1" t="str" cm="1">
        <f t="array" ref="F198">_xlfn.IFS(Table1[[#This Row],[age]]&gt;=50,"senior",Table1[[#This Row],[age]]&gt;20,"adult",Table1[[#This Row],[age]]&lt;=20,"teenager")</f>
        <v>adult</v>
      </c>
      <c r="G198" s="3">
        <v>45579</v>
      </c>
      <c r="H198" s="1" t="str">
        <f>TEXT(Table1[[#This Row],[date]],"mmm")</f>
        <v>Oct</v>
      </c>
      <c r="I198" s="1" t="s">
        <v>673</v>
      </c>
      <c r="J198" s="1" t="s">
        <v>567</v>
      </c>
      <c r="K198" s="1" t="s">
        <v>39</v>
      </c>
      <c r="L198" s="1" t="s">
        <v>59</v>
      </c>
      <c r="M198" s="1" t="s">
        <v>42</v>
      </c>
      <c r="N198" s="1">
        <v>1</v>
      </c>
      <c r="O198" s="1" t="s">
        <v>17</v>
      </c>
      <c r="P198" s="1">
        <v>756</v>
      </c>
      <c r="Q198" s="5" t="s">
        <v>25</v>
      </c>
      <c r="R198" s="11" t="s">
        <v>677</v>
      </c>
    </row>
    <row r="199" spans="1:18" x14ac:dyDescent="0.3">
      <c r="A199" s="4">
        <v>198</v>
      </c>
      <c r="B199" s="1" t="s">
        <v>267</v>
      </c>
      <c r="C199" s="1">
        <v>2534545</v>
      </c>
      <c r="D199" s="1" t="s">
        <v>15</v>
      </c>
      <c r="E199" s="1">
        <v>20</v>
      </c>
      <c r="F199" s="1" t="str" cm="1">
        <f t="array" ref="F199">_xlfn.IFS(Table1[[#This Row],[age]]&gt;=50,"senior",Table1[[#This Row],[age]]&gt;20,"adult",Table1[[#This Row],[age]]&lt;=20,"teenager")</f>
        <v>teenager</v>
      </c>
      <c r="G199" s="3">
        <v>45580</v>
      </c>
      <c r="H199" s="1" t="str">
        <f>TEXT(Table1[[#This Row],[date]],"mmm")</f>
        <v>Oct</v>
      </c>
      <c r="I199" s="1" t="s">
        <v>673</v>
      </c>
      <c r="J199" s="1" t="s">
        <v>568</v>
      </c>
      <c r="K199" s="1" t="s">
        <v>39</v>
      </c>
      <c r="L199" s="1" t="s">
        <v>54</v>
      </c>
      <c r="M199" s="1" t="s">
        <v>42</v>
      </c>
      <c r="N199" s="1">
        <v>1</v>
      </c>
      <c r="O199" s="1" t="s">
        <v>17</v>
      </c>
      <c r="P199" s="1">
        <v>807</v>
      </c>
      <c r="Q199" s="5" t="s">
        <v>24</v>
      </c>
      <c r="R199" s="11" t="s">
        <v>677</v>
      </c>
    </row>
    <row r="200" spans="1:18" x14ac:dyDescent="0.3">
      <c r="A200" s="4">
        <v>199</v>
      </c>
      <c r="B200" s="1" t="s">
        <v>268</v>
      </c>
      <c r="C200" s="1">
        <v>2545656</v>
      </c>
      <c r="D200" s="1" t="s">
        <v>16</v>
      </c>
      <c r="E200" s="1">
        <v>19</v>
      </c>
      <c r="F200" s="1" t="str" cm="1">
        <f t="array" ref="F200">_xlfn.IFS(Table1[[#This Row],[age]]&gt;=50,"senior",Table1[[#This Row],[age]]&gt;20,"adult",Table1[[#This Row],[age]]&lt;=20,"teenager")</f>
        <v>teenager</v>
      </c>
      <c r="G200" s="3">
        <v>45581</v>
      </c>
      <c r="H200" s="1" t="str">
        <f>TEXT(Table1[[#This Row],[date]],"mmm")</f>
        <v>Oct</v>
      </c>
      <c r="I200" s="1" t="s">
        <v>673</v>
      </c>
      <c r="J200" s="1" t="s">
        <v>569</v>
      </c>
      <c r="K200" s="1" t="s">
        <v>50</v>
      </c>
      <c r="L200" s="1" t="s">
        <v>69</v>
      </c>
      <c r="M200" s="1" t="s">
        <v>42</v>
      </c>
      <c r="N200" s="1">
        <v>1</v>
      </c>
      <c r="O200" s="1" t="s">
        <v>17</v>
      </c>
      <c r="P200" s="1">
        <v>858</v>
      </c>
      <c r="Q200" s="5" t="s">
        <v>24</v>
      </c>
      <c r="R200" s="11" t="s">
        <v>677</v>
      </c>
    </row>
    <row r="201" spans="1:18" x14ac:dyDescent="0.3">
      <c r="A201" s="4">
        <v>200</v>
      </c>
      <c r="B201" s="1" t="s">
        <v>269</v>
      </c>
      <c r="C201" s="1">
        <v>2556767</v>
      </c>
      <c r="D201" s="1" t="s">
        <v>16</v>
      </c>
      <c r="E201" s="1">
        <v>20</v>
      </c>
      <c r="F201" s="1" t="str" cm="1">
        <f t="array" ref="F201">_xlfn.IFS(Table1[[#This Row],[age]]&gt;=50,"senior",Table1[[#This Row],[age]]&gt;20,"adult",Table1[[#This Row],[age]]&lt;=20,"teenager")</f>
        <v>teenager</v>
      </c>
      <c r="G201" s="3">
        <v>45582</v>
      </c>
      <c r="H201" s="1" t="str">
        <f>TEXT(Table1[[#This Row],[date]],"mmm")</f>
        <v>Oct</v>
      </c>
      <c r="I201" s="1" t="s">
        <v>673</v>
      </c>
      <c r="J201" s="1" t="s">
        <v>570</v>
      </c>
      <c r="K201" s="1" t="s">
        <v>37</v>
      </c>
      <c r="L201" s="1" t="s">
        <v>69</v>
      </c>
      <c r="M201" s="1" t="s">
        <v>41</v>
      </c>
      <c r="N201" s="1">
        <v>1</v>
      </c>
      <c r="O201" s="1" t="s">
        <v>17</v>
      </c>
      <c r="P201" s="1">
        <v>909</v>
      </c>
      <c r="Q201" s="5" t="s">
        <v>24</v>
      </c>
      <c r="R201" s="11" t="s">
        <v>677</v>
      </c>
    </row>
    <row r="202" spans="1:18" x14ac:dyDescent="0.3">
      <c r="A202" s="4">
        <v>201</v>
      </c>
      <c r="B202" s="1" t="s">
        <v>270</v>
      </c>
      <c r="C202" s="1">
        <v>2567878</v>
      </c>
      <c r="D202" s="1" t="s">
        <v>16</v>
      </c>
      <c r="E202" s="1">
        <v>20</v>
      </c>
      <c r="F202" s="1" t="str" cm="1">
        <f t="array" ref="F202">_xlfn.IFS(Table1[[#This Row],[age]]&gt;=50,"senior",Table1[[#This Row],[age]]&gt;20,"adult",Table1[[#This Row],[age]]&lt;=20,"teenager")</f>
        <v>teenager</v>
      </c>
      <c r="G202" s="3">
        <v>45583</v>
      </c>
      <c r="H202" s="1" t="str">
        <f>TEXT(Table1[[#This Row],[date]],"mmm")</f>
        <v>Oct</v>
      </c>
      <c r="I202" s="1" t="s">
        <v>673</v>
      </c>
      <c r="J202" s="1" t="s">
        <v>571</v>
      </c>
      <c r="K202" s="1" t="s">
        <v>37</v>
      </c>
      <c r="L202" s="1" t="s">
        <v>69</v>
      </c>
      <c r="M202" s="1" t="s">
        <v>41</v>
      </c>
      <c r="N202" s="1">
        <v>1</v>
      </c>
      <c r="O202" s="1" t="s">
        <v>17</v>
      </c>
      <c r="P202" s="1">
        <v>960</v>
      </c>
      <c r="Q202" s="5" t="s">
        <v>24</v>
      </c>
      <c r="R202" s="11" t="s">
        <v>677</v>
      </c>
    </row>
    <row r="203" spans="1:18" x14ac:dyDescent="0.3">
      <c r="A203" s="4">
        <v>202</v>
      </c>
      <c r="B203" s="1" t="s">
        <v>271</v>
      </c>
      <c r="C203" s="1">
        <v>2578989</v>
      </c>
      <c r="D203" s="1" t="s">
        <v>16</v>
      </c>
      <c r="E203" s="1">
        <v>20</v>
      </c>
      <c r="F203" s="1" t="str" cm="1">
        <f t="array" ref="F203">_xlfn.IFS(Table1[[#This Row],[age]]&gt;=50,"senior",Table1[[#This Row],[age]]&gt;20,"adult",Table1[[#This Row],[age]]&lt;=20,"teenager")</f>
        <v>teenager</v>
      </c>
      <c r="G203" s="3">
        <v>45584</v>
      </c>
      <c r="H203" s="1" t="str">
        <f>TEXT(Table1[[#This Row],[date]],"mmm")</f>
        <v>Oct</v>
      </c>
      <c r="I203" s="1" t="s">
        <v>673</v>
      </c>
      <c r="J203" s="1" t="s">
        <v>572</v>
      </c>
      <c r="K203" s="1" t="s">
        <v>37</v>
      </c>
      <c r="L203" s="1" t="s">
        <v>69</v>
      </c>
      <c r="M203" s="1" t="s">
        <v>41</v>
      </c>
      <c r="N203" s="1">
        <v>1</v>
      </c>
      <c r="O203" s="1" t="s">
        <v>17</v>
      </c>
      <c r="P203" s="1">
        <v>1011</v>
      </c>
      <c r="Q203" s="5" t="s">
        <v>25</v>
      </c>
      <c r="R203" s="11" t="s">
        <v>677</v>
      </c>
    </row>
    <row r="204" spans="1:18" x14ac:dyDescent="0.3">
      <c r="A204" s="4">
        <v>203</v>
      </c>
      <c r="B204" s="1" t="s">
        <v>272</v>
      </c>
      <c r="C204" s="1">
        <v>2590100</v>
      </c>
      <c r="D204" s="1" t="s">
        <v>15</v>
      </c>
      <c r="E204" s="1">
        <v>22</v>
      </c>
      <c r="F204" s="1" t="str" cm="1">
        <f t="array" ref="F204">_xlfn.IFS(Table1[[#This Row],[age]]&gt;=50,"senior",Table1[[#This Row],[age]]&gt;20,"adult",Table1[[#This Row],[age]]&lt;=20,"teenager")</f>
        <v>adult</v>
      </c>
      <c r="G204" s="3">
        <v>45585</v>
      </c>
      <c r="H204" s="1" t="str">
        <f>TEXT(Table1[[#This Row],[date]],"mmm")</f>
        <v>Oct</v>
      </c>
      <c r="I204" s="1" t="s">
        <v>673</v>
      </c>
      <c r="J204" s="1" t="s">
        <v>573</v>
      </c>
      <c r="K204" s="1" t="s">
        <v>50</v>
      </c>
      <c r="L204" s="1" t="s">
        <v>60</v>
      </c>
      <c r="M204" s="1" t="s">
        <v>41</v>
      </c>
      <c r="N204" s="1">
        <v>1</v>
      </c>
      <c r="O204" s="1" t="s">
        <v>17</v>
      </c>
      <c r="P204" s="1">
        <v>1062</v>
      </c>
      <c r="Q204" s="5" t="s">
        <v>25</v>
      </c>
      <c r="R204" s="11" t="s">
        <v>677</v>
      </c>
    </row>
    <row r="205" spans="1:18" x14ac:dyDescent="0.3">
      <c r="A205" s="4">
        <v>204</v>
      </c>
      <c r="B205" s="1" t="s">
        <v>273</v>
      </c>
      <c r="C205" s="1">
        <v>2601211</v>
      </c>
      <c r="D205" s="1" t="s">
        <v>16</v>
      </c>
      <c r="E205" s="1">
        <v>23</v>
      </c>
      <c r="F205" s="1" t="str" cm="1">
        <f t="array" ref="F205">_xlfn.IFS(Table1[[#This Row],[age]]&gt;=50,"senior",Table1[[#This Row],[age]]&gt;20,"adult",Table1[[#This Row],[age]]&lt;=20,"teenager")</f>
        <v>adult</v>
      </c>
      <c r="G205" s="3">
        <v>45586</v>
      </c>
      <c r="H205" s="1" t="str">
        <f>TEXT(Table1[[#This Row],[date]],"mmm")</f>
        <v>Oct</v>
      </c>
      <c r="I205" s="1" t="s">
        <v>673</v>
      </c>
      <c r="J205" s="1" t="s">
        <v>574</v>
      </c>
      <c r="K205" s="1" t="s">
        <v>50</v>
      </c>
      <c r="L205" s="1" t="s">
        <v>64</v>
      </c>
      <c r="M205" s="1" t="s">
        <v>40</v>
      </c>
      <c r="N205" s="1">
        <v>1</v>
      </c>
      <c r="O205" s="1" t="s">
        <v>17</v>
      </c>
      <c r="P205" s="1">
        <v>1113</v>
      </c>
      <c r="Q205" s="5" t="s">
        <v>25</v>
      </c>
      <c r="R205" s="11" t="s">
        <v>677</v>
      </c>
    </row>
    <row r="206" spans="1:18" x14ac:dyDescent="0.3">
      <c r="A206" s="4">
        <v>205</v>
      </c>
      <c r="B206" s="1" t="s">
        <v>274</v>
      </c>
      <c r="C206" s="1">
        <v>2612322</v>
      </c>
      <c r="D206" s="1" t="s">
        <v>16</v>
      </c>
      <c r="E206" s="1">
        <v>24</v>
      </c>
      <c r="F206" s="1" t="str" cm="1">
        <f t="array" ref="F206">_xlfn.IFS(Table1[[#This Row],[age]]&gt;=50,"senior",Table1[[#This Row],[age]]&gt;20,"adult",Table1[[#This Row],[age]]&lt;=20,"teenager")</f>
        <v>adult</v>
      </c>
      <c r="G206" s="3">
        <v>45587</v>
      </c>
      <c r="H206" s="1" t="str">
        <f>TEXT(Table1[[#This Row],[date]],"mmm")</f>
        <v>Oct</v>
      </c>
      <c r="I206" s="1" t="s">
        <v>673</v>
      </c>
      <c r="J206" s="1" t="s">
        <v>575</v>
      </c>
      <c r="K206" s="1" t="s">
        <v>50</v>
      </c>
      <c r="L206" s="1" t="s">
        <v>64</v>
      </c>
      <c r="M206" s="1" t="s">
        <v>40</v>
      </c>
      <c r="N206" s="1">
        <v>1</v>
      </c>
      <c r="O206" s="1" t="s">
        <v>17</v>
      </c>
      <c r="P206" s="1">
        <v>1164</v>
      </c>
      <c r="Q206" s="5" t="s">
        <v>23</v>
      </c>
      <c r="R206" s="11" t="s">
        <v>677</v>
      </c>
    </row>
    <row r="207" spans="1:18" x14ac:dyDescent="0.3">
      <c r="A207" s="4">
        <v>206</v>
      </c>
      <c r="B207" s="1" t="s">
        <v>275</v>
      </c>
      <c r="C207" s="1">
        <v>2623433</v>
      </c>
      <c r="D207" s="1" t="s">
        <v>16</v>
      </c>
      <c r="E207" s="1">
        <v>25</v>
      </c>
      <c r="F207" s="1" t="str" cm="1">
        <f t="array" ref="F207">_xlfn.IFS(Table1[[#This Row],[age]]&gt;=50,"senior",Table1[[#This Row],[age]]&gt;20,"adult",Table1[[#This Row],[age]]&lt;=20,"teenager")</f>
        <v>adult</v>
      </c>
      <c r="G207" s="3">
        <v>45588</v>
      </c>
      <c r="H207" s="1" t="str">
        <f>TEXT(Table1[[#This Row],[date]],"mmm")</f>
        <v>Oct</v>
      </c>
      <c r="I207" s="1" t="s">
        <v>673</v>
      </c>
      <c r="J207" s="1" t="s">
        <v>576</v>
      </c>
      <c r="K207" s="1" t="s">
        <v>38</v>
      </c>
      <c r="L207" s="1" t="s">
        <v>64</v>
      </c>
      <c r="M207" s="1" t="s">
        <v>40</v>
      </c>
      <c r="N207" s="1">
        <v>1</v>
      </c>
      <c r="O207" s="1" t="s">
        <v>17</v>
      </c>
      <c r="P207" s="1">
        <v>1215</v>
      </c>
      <c r="Q207" s="5" t="s">
        <v>33</v>
      </c>
      <c r="R207" s="11" t="s">
        <v>677</v>
      </c>
    </row>
    <row r="208" spans="1:18" x14ac:dyDescent="0.3">
      <c r="A208" s="4">
        <v>207</v>
      </c>
      <c r="B208" s="1" t="s">
        <v>276</v>
      </c>
      <c r="C208" s="1">
        <v>2634544</v>
      </c>
      <c r="D208" s="1" t="s">
        <v>16</v>
      </c>
      <c r="E208" s="1">
        <v>26</v>
      </c>
      <c r="F208" s="1" t="str" cm="1">
        <f t="array" ref="F208">_xlfn.IFS(Table1[[#This Row],[age]]&gt;=50,"senior",Table1[[#This Row],[age]]&gt;20,"adult",Table1[[#This Row],[age]]&lt;=20,"teenager")</f>
        <v>adult</v>
      </c>
      <c r="G208" s="3">
        <v>45589</v>
      </c>
      <c r="H208" s="1" t="str">
        <f>TEXT(Table1[[#This Row],[date]],"mmm")</f>
        <v>Oct</v>
      </c>
      <c r="I208" s="1" t="s">
        <v>673</v>
      </c>
      <c r="J208" s="1" t="s">
        <v>577</v>
      </c>
      <c r="K208" s="1" t="s">
        <v>38</v>
      </c>
      <c r="L208" s="1" t="s">
        <v>69</v>
      </c>
      <c r="M208" s="1" t="s">
        <v>40</v>
      </c>
      <c r="N208" s="1">
        <v>1</v>
      </c>
      <c r="O208" s="1" t="s">
        <v>17</v>
      </c>
      <c r="P208" s="1">
        <v>1266</v>
      </c>
      <c r="Q208" s="5" t="s">
        <v>33</v>
      </c>
      <c r="R208" s="11" t="s">
        <v>677</v>
      </c>
    </row>
    <row r="209" spans="1:18" x14ac:dyDescent="0.3">
      <c r="A209" s="4">
        <v>208</v>
      </c>
      <c r="B209" s="1" t="s">
        <v>277</v>
      </c>
      <c r="C209" s="1">
        <v>2645655</v>
      </c>
      <c r="D209" s="1" t="s">
        <v>16</v>
      </c>
      <c r="E209" s="1">
        <v>27</v>
      </c>
      <c r="F209" s="1" t="str" cm="1">
        <f t="array" ref="F209">_xlfn.IFS(Table1[[#This Row],[age]]&gt;=50,"senior",Table1[[#This Row],[age]]&gt;20,"adult",Table1[[#This Row],[age]]&lt;=20,"teenager")</f>
        <v>adult</v>
      </c>
      <c r="G209" s="3">
        <v>45590</v>
      </c>
      <c r="H209" s="1" t="str">
        <f>TEXT(Table1[[#This Row],[date]],"mmm")</f>
        <v>Oct</v>
      </c>
      <c r="I209" s="1" t="s">
        <v>673</v>
      </c>
      <c r="J209" s="1" t="s">
        <v>578</v>
      </c>
      <c r="K209" s="1" t="s">
        <v>38</v>
      </c>
      <c r="L209" s="1" t="s">
        <v>69</v>
      </c>
      <c r="M209" s="1" t="s">
        <v>46</v>
      </c>
      <c r="N209" s="1">
        <v>1</v>
      </c>
      <c r="O209" s="1" t="s">
        <v>17</v>
      </c>
      <c r="P209" s="1">
        <v>1317</v>
      </c>
      <c r="Q209" s="5" t="s">
        <v>23</v>
      </c>
      <c r="R209" s="11" t="s">
        <v>677</v>
      </c>
    </row>
    <row r="210" spans="1:18" x14ac:dyDescent="0.3">
      <c r="A210" s="4">
        <v>209</v>
      </c>
      <c r="B210" s="1" t="s">
        <v>278</v>
      </c>
      <c r="C210" s="1">
        <v>2656766</v>
      </c>
      <c r="D210" s="1" t="s">
        <v>16</v>
      </c>
      <c r="E210" s="1">
        <v>28</v>
      </c>
      <c r="F210" s="1" t="str" cm="1">
        <f t="array" ref="F210">_xlfn.IFS(Table1[[#This Row],[age]]&gt;=50,"senior",Table1[[#This Row],[age]]&gt;20,"adult",Table1[[#This Row],[age]]&lt;=20,"teenager")</f>
        <v>adult</v>
      </c>
      <c r="G210" s="3">
        <v>45591</v>
      </c>
      <c r="H210" s="1" t="str">
        <f>TEXT(Table1[[#This Row],[date]],"mmm")</f>
        <v>Oct</v>
      </c>
      <c r="I210" s="1" t="s">
        <v>673</v>
      </c>
      <c r="J210" s="1" t="s">
        <v>579</v>
      </c>
      <c r="K210" s="1" t="s">
        <v>38</v>
      </c>
      <c r="L210" s="1" t="s">
        <v>69</v>
      </c>
      <c r="M210" s="1" t="s">
        <v>44</v>
      </c>
      <c r="N210" s="1">
        <v>1</v>
      </c>
      <c r="O210" s="1" t="s">
        <v>17</v>
      </c>
      <c r="P210" s="1">
        <v>1368</v>
      </c>
      <c r="Q210" s="5" t="s">
        <v>33</v>
      </c>
      <c r="R210" s="11" t="s">
        <v>677</v>
      </c>
    </row>
    <row r="211" spans="1:18" x14ac:dyDescent="0.3">
      <c r="A211" s="4">
        <v>210</v>
      </c>
      <c r="B211" s="1" t="s">
        <v>279</v>
      </c>
      <c r="C211" s="1">
        <v>2667877</v>
      </c>
      <c r="D211" s="1" t="s">
        <v>15</v>
      </c>
      <c r="E211" s="1">
        <v>29</v>
      </c>
      <c r="F211" s="1" t="str" cm="1">
        <f t="array" ref="F211">_xlfn.IFS(Table1[[#This Row],[age]]&gt;=50,"senior",Table1[[#This Row],[age]]&gt;20,"adult",Table1[[#This Row],[age]]&lt;=20,"teenager")</f>
        <v>adult</v>
      </c>
      <c r="G211" s="3">
        <v>45592</v>
      </c>
      <c r="H211" s="1" t="str">
        <f>TEXT(Table1[[#This Row],[date]],"mmm")</f>
        <v>Oct</v>
      </c>
      <c r="I211" s="1" t="s">
        <v>673</v>
      </c>
      <c r="J211" s="1" t="s">
        <v>580</v>
      </c>
      <c r="K211" s="1" t="s">
        <v>39</v>
      </c>
      <c r="L211" s="1" t="s">
        <v>61</v>
      </c>
      <c r="M211" s="1" t="s">
        <v>44</v>
      </c>
      <c r="N211" s="1">
        <v>1</v>
      </c>
      <c r="O211" s="1" t="s">
        <v>17</v>
      </c>
      <c r="P211" s="1">
        <v>1419</v>
      </c>
      <c r="Q211" s="5" t="s">
        <v>52</v>
      </c>
      <c r="R211" s="11" t="s">
        <v>677</v>
      </c>
    </row>
    <row r="212" spans="1:18" x14ac:dyDescent="0.3">
      <c r="A212" s="4">
        <v>211</v>
      </c>
      <c r="B212" s="1" t="s">
        <v>280</v>
      </c>
      <c r="C212" s="1">
        <v>2678988</v>
      </c>
      <c r="D212" s="1" t="s">
        <v>15</v>
      </c>
      <c r="E212" s="1">
        <v>30</v>
      </c>
      <c r="F212" s="1" t="str" cm="1">
        <f t="array" ref="F212">_xlfn.IFS(Table1[[#This Row],[age]]&gt;=50,"senior",Table1[[#This Row],[age]]&gt;20,"adult",Table1[[#This Row],[age]]&lt;=20,"teenager")</f>
        <v>adult</v>
      </c>
      <c r="G212" s="3">
        <v>45593</v>
      </c>
      <c r="H212" s="1" t="str">
        <f>TEXT(Table1[[#This Row],[date]],"mmm")</f>
        <v>Oct</v>
      </c>
      <c r="I212" s="1" t="s">
        <v>673</v>
      </c>
      <c r="J212" s="1" t="s">
        <v>581</v>
      </c>
      <c r="K212" s="1" t="s">
        <v>39</v>
      </c>
      <c r="L212" s="1" t="s">
        <v>62</v>
      </c>
      <c r="M212" s="1" t="s">
        <v>44</v>
      </c>
      <c r="N212" s="1">
        <v>1</v>
      </c>
      <c r="O212" s="1" t="s">
        <v>17</v>
      </c>
      <c r="P212" s="1">
        <v>1470</v>
      </c>
      <c r="Q212" s="5" t="s">
        <v>23</v>
      </c>
      <c r="R212" s="11" t="s">
        <v>677</v>
      </c>
    </row>
    <row r="213" spans="1:18" x14ac:dyDescent="0.3">
      <c r="A213" s="4">
        <v>212</v>
      </c>
      <c r="B213" s="1" t="s">
        <v>281</v>
      </c>
      <c r="C213" s="1">
        <v>2690099</v>
      </c>
      <c r="D213" s="1" t="s">
        <v>15</v>
      </c>
      <c r="E213" s="1">
        <v>31</v>
      </c>
      <c r="F213" s="1" t="str" cm="1">
        <f t="array" ref="F213">_xlfn.IFS(Table1[[#This Row],[age]]&gt;=50,"senior",Table1[[#This Row],[age]]&gt;20,"adult",Table1[[#This Row],[age]]&lt;=20,"teenager")</f>
        <v>adult</v>
      </c>
      <c r="G213" s="3">
        <v>45594</v>
      </c>
      <c r="H213" s="1" t="str">
        <f>TEXT(Table1[[#This Row],[date]],"mmm")</f>
        <v>Oct</v>
      </c>
      <c r="I213" s="1" t="s">
        <v>673</v>
      </c>
      <c r="J213" s="1" t="s">
        <v>582</v>
      </c>
      <c r="K213" s="1" t="s">
        <v>39</v>
      </c>
      <c r="L213" s="1" t="s">
        <v>60</v>
      </c>
      <c r="M213" s="1" t="s">
        <v>44</v>
      </c>
      <c r="N213" s="1">
        <v>1</v>
      </c>
      <c r="O213" s="1" t="s">
        <v>17</v>
      </c>
      <c r="P213" s="1">
        <v>1521</v>
      </c>
      <c r="Q213" s="5" t="s">
        <v>52</v>
      </c>
      <c r="R213" s="11" t="s">
        <v>677</v>
      </c>
    </row>
    <row r="214" spans="1:18" x14ac:dyDescent="0.3">
      <c r="A214" s="4">
        <v>213</v>
      </c>
      <c r="B214" s="1" t="s">
        <v>282</v>
      </c>
      <c r="C214" s="1">
        <v>2701210</v>
      </c>
      <c r="D214" s="1" t="s">
        <v>15</v>
      </c>
      <c r="E214" s="1">
        <v>32</v>
      </c>
      <c r="F214" s="1" t="str" cm="1">
        <f t="array" ref="F214">_xlfn.IFS(Table1[[#This Row],[age]]&gt;=50,"senior",Table1[[#This Row],[age]]&gt;20,"adult",Table1[[#This Row],[age]]&lt;=20,"teenager")</f>
        <v>adult</v>
      </c>
      <c r="G214" s="3">
        <v>45595</v>
      </c>
      <c r="H214" s="1" t="str">
        <f>TEXT(Table1[[#This Row],[date]],"mmm")</f>
        <v>Oct</v>
      </c>
      <c r="I214" s="1" t="s">
        <v>673</v>
      </c>
      <c r="J214" s="1" t="s">
        <v>583</v>
      </c>
      <c r="K214" s="1" t="s">
        <v>48</v>
      </c>
      <c r="L214" s="1" t="s">
        <v>59</v>
      </c>
      <c r="M214" s="1" t="s">
        <v>42</v>
      </c>
      <c r="N214" s="1">
        <v>1</v>
      </c>
      <c r="O214" s="1" t="s">
        <v>17</v>
      </c>
      <c r="P214" s="1">
        <v>1572</v>
      </c>
      <c r="Q214" s="5" t="s">
        <v>52</v>
      </c>
      <c r="R214" s="11" t="s">
        <v>677</v>
      </c>
    </row>
    <row r="215" spans="1:18" x14ac:dyDescent="0.3">
      <c r="A215" s="4">
        <v>214</v>
      </c>
      <c r="B215" s="1" t="s">
        <v>283</v>
      </c>
      <c r="C215" s="1">
        <v>2712321</v>
      </c>
      <c r="D215" s="1" t="s">
        <v>15</v>
      </c>
      <c r="E215" s="1">
        <v>33</v>
      </c>
      <c r="F215" s="1" t="str" cm="1">
        <f t="array" ref="F215">_xlfn.IFS(Table1[[#This Row],[age]]&gt;=50,"senior",Table1[[#This Row],[age]]&gt;20,"adult",Table1[[#This Row],[age]]&lt;=20,"teenager")</f>
        <v>adult</v>
      </c>
      <c r="G215" s="3">
        <v>45596</v>
      </c>
      <c r="H215" s="1" t="str">
        <f>TEXT(Table1[[#This Row],[date]],"mmm")</f>
        <v>Oct</v>
      </c>
      <c r="I215" s="1" t="s">
        <v>673</v>
      </c>
      <c r="J215" s="1" t="s">
        <v>584</v>
      </c>
      <c r="K215" s="1" t="s">
        <v>48</v>
      </c>
      <c r="L215" s="1" t="s">
        <v>60</v>
      </c>
      <c r="M215" s="1" t="s">
        <v>42</v>
      </c>
      <c r="N215" s="1">
        <v>1</v>
      </c>
      <c r="O215" s="1" t="s">
        <v>17</v>
      </c>
      <c r="P215" s="1">
        <v>1623</v>
      </c>
      <c r="Q215" s="5" t="s">
        <v>52</v>
      </c>
      <c r="R215" s="11" t="s">
        <v>677</v>
      </c>
    </row>
    <row r="216" spans="1:18" x14ac:dyDescent="0.3">
      <c r="A216" s="4">
        <v>215</v>
      </c>
      <c r="B216" s="1" t="s">
        <v>284</v>
      </c>
      <c r="C216" s="1">
        <v>2723432</v>
      </c>
      <c r="D216" s="1" t="s">
        <v>16</v>
      </c>
      <c r="E216" s="1">
        <v>25</v>
      </c>
      <c r="F216" s="1" t="str" cm="1">
        <f t="array" ref="F216">_xlfn.IFS(Table1[[#This Row],[age]]&gt;=50,"senior",Table1[[#This Row],[age]]&gt;20,"adult",Table1[[#This Row],[age]]&lt;=20,"teenager")</f>
        <v>adult</v>
      </c>
      <c r="G216" s="3">
        <v>45597</v>
      </c>
      <c r="H216" s="1" t="str">
        <f>TEXT(Table1[[#This Row],[date]],"mmm")</f>
        <v>Nov</v>
      </c>
      <c r="I216" s="1" t="s">
        <v>673</v>
      </c>
      <c r="J216" s="1" t="s">
        <v>585</v>
      </c>
      <c r="K216" s="1" t="s">
        <v>48</v>
      </c>
      <c r="L216" s="1" t="s">
        <v>59</v>
      </c>
      <c r="M216" s="1" t="s">
        <v>42</v>
      </c>
      <c r="N216" s="1">
        <v>1</v>
      </c>
      <c r="O216" s="1" t="s">
        <v>17</v>
      </c>
      <c r="P216" s="1">
        <v>590</v>
      </c>
      <c r="Q216" s="5" t="s">
        <v>52</v>
      </c>
      <c r="R216" s="11" t="s">
        <v>677</v>
      </c>
    </row>
    <row r="217" spans="1:18" x14ac:dyDescent="0.3">
      <c r="A217" s="4">
        <v>216</v>
      </c>
      <c r="B217" s="1" t="s">
        <v>285</v>
      </c>
      <c r="C217" s="1">
        <v>2734543</v>
      </c>
      <c r="D217" s="1" t="s">
        <v>16</v>
      </c>
      <c r="E217" s="1">
        <v>44</v>
      </c>
      <c r="F217" s="1" t="str" cm="1">
        <f t="array" ref="F217">_xlfn.IFS(Table1[[#This Row],[age]]&gt;=50,"senior",Table1[[#This Row],[age]]&gt;20,"adult",Table1[[#This Row],[age]]&lt;=20,"teenager")</f>
        <v>adult</v>
      </c>
      <c r="G217" s="3">
        <v>45598</v>
      </c>
      <c r="H217" s="1" t="str">
        <f>TEXT(Table1[[#This Row],[date]],"mmm")</f>
        <v>Nov</v>
      </c>
      <c r="I217" s="1" t="s">
        <v>673</v>
      </c>
      <c r="J217" s="1" t="s">
        <v>586</v>
      </c>
      <c r="K217" s="1" t="s">
        <v>48</v>
      </c>
      <c r="L217" s="1" t="s">
        <v>65</v>
      </c>
      <c r="M217" s="1" t="s">
        <v>42</v>
      </c>
      <c r="N217" s="1">
        <v>1</v>
      </c>
      <c r="O217" s="1" t="s">
        <v>17</v>
      </c>
      <c r="P217" s="1">
        <v>890</v>
      </c>
      <c r="Q217" s="5" t="s">
        <v>24</v>
      </c>
      <c r="R217" s="11" t="s">
        <v>677</v>
      </c>
    </row>
    <row r="218" spans="1:18" x14ac:dyDescent="0.3">
      <c r="A218" s="4">
        <v>217</v>
      </c>
      <c r="B218" s="1" t="s">
        <v>286</v>
      </c>
      <c r="C218" s="1">
        <v>2745654</v>
      </c>
      <c r="D218" s="1" t="s">
        <v>16</v>
      </c>
      <c r="E218" s="1">
        <v>45</v>
      </c>
      <c r="F218" s="1" t="str" cm="1">
        <f t="array" ref="F218">_xlfn.IFS(Table1[[#This Row],[age]]&gt;=50,"senior",Table1[[#This Row],[age]]&gt;20,"adult",Table1[[#This Row],[age]]&lt;=20,"teenager")</f>
        <v>adult</v>
      </c>
      <c r="G218" s="3">
        <v>45599</v>
      </c>
      <c r="H218" s="1" t="str">
        <f>TEXT(Table1[[#This Row],[date]],"mmm")</f>
        <v>Nov</v>
      </c>
      <c r="I218" s="1" t="s">
        <v>674</v>
      </c>
      <c r="J218" s="1" t="s">
        <v>587</v>
      </c>
      <c r="K218" s="1" t="s">
        <v>49</v>
      </c>
      <c r="L218" s="1" t="s">
        <v>65</v>
      </c>
      <c r="M218" s="1" t="s">
        <v>42</v>
      </c>
      <c r="N218" s="1">
        <v>1</v>
      </c>
      <c r="O218" s="1" t="s">
        <v>17</v>
      </c>
      <c r="P218" s="1">
        <v>765</v>
      </c>
      <c r="Q218" s="5" t="s">
        <v>24</v>
      </c>
      <c r="R218" s="11" t="s">
        <v>677</v>
      </c>
    </row>
    <row r="219" spans="1:18" x14ac:dyDescent="0.3">
      <c r="A219" s="4">
        <v>218</v>
      </c>
      <c r="B219" s="1" t="s">
        <v>287</v>
      </c>
      <c r="C219" s="1">
        <v>2756765</v>
      </c>
      <c r="D219" s="1" t="s">
        <v>16</v>
      </c>
      <c r="E219" s="1">
        <v>46</v>
      </c>
      <c r="F219" s="1" t="str" cm="1">
        <f t="array" ref="F219">_xlfn.IFS(Table1[[#This Row],[age]]&gt;=50,"senior",Table1[[#This Row],[age]]&gt;20,"adult",Table1[[#This Row],[age]]&lt;=20,"teenager")</f>
        <v>adult</v>
      </c>
      <c r="G219" s="3">
        <v>45600</v>
      </c>
      <c r="H219" s="1" t="str">
        <f>TEXT(Table1[[#This Row],[date]],"mmm")</f>
        <v>Nov</v>
      </c>
      <c r="I219" s="1" t="s">
        <v>673</v>
      </c>
      <c r="J219" s="1" t="s">
        <v>588</v>
      </c>
      <c r="K219" s="1" t="s">
        <v>49</v>
      </c>
      <c r="L219" s="1" t="s">
        <v>65</v>
      </c>
      <c r="M219" s="1" t="s">
        <v>40</v>
      </c>
      <c r="N219" s="1">
        <v>1</v>
      </c>
      <c r="O219" s="1" t="s">
        <v>17</v>
      </c>
      <c r="P219" s="1">
        <v>569</v>
      </c>
      <c r="Q219" s="5" t="s">
        <v>24</v>
      </c>
      <c r="R219" s="11" t="s">
        <v>677</v>
      </c>
    </row>
    <row r="220" spans="1:18" x14ac:dyDescent="0.3">
      <c r="A220" s="4">
        <v>219</v>
      </c>
      <c r="B220" s="1" t="s">
        <v>288</v>
      </c>
      <c r="C220" s="1">
        <v>2767876</v>
      </c>
      <c r="D220" s="1" t="s">
        <v>16</v>
      </c>
      <c r="E220" s="1">
        <v>20</v>
      </c>
      <c r="F220" s="1" t="str" cm="1">
        <f t="array" ref="F220">_xlfn.IFS(Table1[[#This Row],[age]]&gt;=50,"senior",Table1[[#This Row],[age]]&gt;20,"adult",Table1[[#This Row],[age]]&lt;=20,"teenager")</f>
        <v>teenager</v>
      </c>
      <c r="G220" s="3">
        <v>45601</v>
      </c>
      <c r="H220" s="1" t="str">
        <f>TEXT(Table1[[#This Row],[date]],"mmm")</f>
        <v>Nov</v>
      </c>
      <c r="I220" s="1" t="s">
        <v>673</v>
      </c>
      <c r="J220" s="1" t="s">
        <v>589</v>
      </c>
      <c r="K220" s="1" t="s">
        <v>38</v>
      </c>
      <c r="L220" s="1" t="s">
        <v>61</v>
      </c>
      <c r="M220" s="1" t="s">
        <v>40</v>
      </c>
      <c r="N220" s="1">
        <v>1</v>
      </c>
      <c r="O220" s="1" t="s">
        <v>17</v>
      </c>
      <c r="P220" s="1">
        <v>373</v>
      </c>
      <c r="Q220" s="5" t="s">
        <v>52</v>
      </c>
      <c r="R220" s="11" t="s">
        <v>677</v>
      </c>
    </row>
    <row r="221" spans="1:18" x14ac:dyDescent="0.3">
      <c r="A221" s="4">
        <v>220</v>
      </c>
      <c r="B221" s="1" t="s">
        <v>289</v>
      </c>
      <c r="C221" s="1">
        <v>2778987</v>
      </c>
      <c r="D221" s="1" t="s">
        <v>16</v>
      </c>
      <c r="E221" s="1">
        <v>22</v>
      </c>
      <c r="F221" s="1" t="str" cm="1">
        <f t="array" ref="F221">_xlfn.IFS(Table1[[#This Row],[age]]&gt;=50,"senior",Table1[[#This Row],[age]]&gt;20,"adult",Table1[[#This Row],[age]]&lt;=20,"teenager")</f>
        <v>adult</v>
      </c>
      <c r="G221" s="3">
        <v>45602</v>
      </c>
      <c r="H221" s="1" t="str">
        <f>TEXT(Table1[[#This Row],[date]],"mmm")</f>
        <v>Nov</v>
      </c>
      <c r="I221" s="1" t="s">
        <v>673</v>
      </c>
      <c r="J221" s="1" t="s">
        <v>590</v>
      </c>
      <c r="K221" s="1" t="s">
        <v>35</v>
      </c>
      <c r="L221" s="1" t="s">
        <v>61</v>
      </c>
      <c r="M221" s="1" t="s">
        <v>40</v>
      </c>
      <c r="N221" s="1">
        <v>1</v>
      </c>
      <c r="O221" s="1" t="s">
        <v>17</v>
      </c>
      <c r="P221" s="1">
        <v>756</v>
      </c>
      <c r="Q221" s="5" t="s">
        <v>52</v>
      </c>
      <c r="R221" s="11" t="s">
        <v>677</v>
      </c>
    </row>
    <row r="222" spans="1:18" x14ac:dyDescent="0.3">
      <c r="A222" s="4">
        <v>221</v>
      </c>
      <c r="B222" s="1" t="s">
        <v>290</v>
      </c>
      <c r="C222" s="1">
        <v>2790098</v>
      </c>
      <c r="D222" s="1" t="s">
        <v>16</v>
      </c>
      <c r="E222" s="1">
        <v>30</v>
      </c>
      <c r="F222" s="1" t="str" cm="1">
        <f t="array" ref="F222">_xlfn.IFS(Table1[[#This Row],[age]]&gt;=50,"senior",Table1[[#This Row],[age]]&gt;20,"adult",Table1[[#This Row],[age]]&lt;=20,"teenager")</f>
        <v>adult</v>
      </c>
      <c r="G222" s="3">
        <v>45603</v>
      </c>
      <c r="H222" s="1" t="str">
        <f>TEXT(Table1[[#This Row],[date]],"mmm")</f>
        <v>Nov</v>
      </c>
      <c r="I222" s="1" t="s">
        <v>673</v>
      </c>
      <c r="J222" s="1" t="s">
        <v>591</v>
      </c>
      <c r="K222" s="1" t="s">
        <v>35</v>
      </c>
      <c r="L222" s="1" t="s">
        <v>61</v>
      </c>
      <c r="M222" s="1" t="s">
        <v>40</v>
      </c>
      <c r="N222" s="1">
        <v>1</v>
      </c>
      <c r="O222" s="1" t="s">
        <v>17</v>
      </c>
      <c r="P222" s="1">
        <v>1008</v>
      </c>
      <c r="Q222" s="5" t="s">
        <v>52</v>
      </c>
      <c r="R222" s="11" t="s">
        <v>677</v>
      </c>
    </row>
    <row r="223" spans="1:18" x14ac:dyDescent="0.3">
      <c r="A223" s="4">
        <v>222</v>
      </c>
      <c r="B223" s="1" t="s">
        <v>291</v>
      </c>
      <c r="C223" s="1">
        <v>2801209</v>
      </c>
      <c r="D223" s="1" t="s">
        <v>16</v>
      </c>
      <c r="E223" s="1">
        <v>33</v>
      </c>
      <c r="F223" s="1" t="str" cm="1">
        <f t="array" ref="F223">_xlfn.IFS(Table1[[#This Row],[age]]&gt;=50,"senior",Table1[[#This Row],[age]]&gt;20,"adult",Table1[[#This Row],[age]]&lt;=20,"teenager")</f>
        <v>adult</v>
      </c>
      <c r="G223" s="3">
        <v>45604</v>
      </c>
      <c r="H223" s="1" t="str">
        <f>TEXT(Table1[[#This Row],[date]],"mmm")</f>
        <v>Nov</v>
      </c>
      <c r="I223" s="1" t="s">
        <v>673</v>
      </c>
      <c r="J223" s="1" t="s">
        <v>592</v>
      </c>
      <c r="K223" s="1" t="s">
        <v>35</v>
      </c>
      <c r="L223" s="1" t="s">
        <v>61</v>
      </c>
      <c r="M223" s="1" t="s">
        <v>40</v>
      </c>
      <c r="N223" s="1">
        <v>1</v>
      </c>
      <c r="O223" s="1" t="s">
        <v>17</v>
      </c>
      <c r="P223" s="1">
        <v>1056</v>
      </c>
      <c r="Q223" s="5" t="s">
        <v>18</v>
      </c>
      <c r="R223" s="11" t="s">
        <v>677</v>
      </c>
    </row>
    <row r="224" spans="1:18" x14ac:dyDescent="0.3">
      <c r="A224" s="4">
        <v>223</v>
      </c>
      <c r="B224" s="1" t="s">
        <v>292</v>
      </c>
      <c r="C224" s="1">
        <v>2812320</v>
      </c>
      <c r="D224" s="1" t="s">
        <v>15</v>
      </c>
      <c r="E224" s="1">
        <v>36</v>
      </c>
      <c r="F224" s="1" t="str" cm="1">
        <f t="array" ref="F224">_xlfn.IFS(Table1[[#This Row],[age]]&gt;=50,"senior",Table1[[#This Row],[age]]&gt;20,"adult",Table1[[#This Row],[age]]&lt;=20,"teenager")</f>
        <v>adult</v>
      </c>
      <c r="G224" s="3">
        <v>45605</v>
      </c>
      <c r="H224" s="1" t="str">
        <f>TEXT(Table1[[#This Row],[date]],"mmm")</f>
        <v>Nov</v>
      </c>
      <c r="I224" s="1" t="s">
        <v>675</v>
      </c>
      <c r="J224" s="1" t="s">
        <v>593</v>
      </c>
      <c r="K224" s="1" t="s">
        <v>35</v>
      </c>
      <c r="L224" s="1" t="s">
        <v>60</v>
      </c>
      <c r="M224" s="1" t="s">
        <v>40</v>
      </c>
      <c r="N224" s="1">
        <v>1</v>
      </c>
      <c r="O224" s="1" t="s">
        <v>17</v>
      </c>
      <c r="P224" s="1">
        <v>1104</v>
      </c>
      <c r="Q224" s="5" t="s">
        <v>23</v>
      </c>
      <c r="R224" s="11" t="s">
        <v>677</v>
      </c>
    </row>
    <row r="225" spans="1:18" x14ac:dyDescent="0.3">
      <c r="A225" s="4">
        <v>224</v>
      </c>
      <c r="B225" s="1" t="s">
        <v>293</v>
      </c>
      <c r="C225" s="1">
        <v>2823431</v>
      </c>
      <c r="D225" s="1" t="s">
        <v>15</v>
      </c>
      <c r="E225" s="1">
        <v>39</v>
      </c>
      <c r="F225" s="1" t="str" cm="1">
        <f t="array" ref="F225">_xlfn.IFS(Table1[[#This Row],[age]]&gt;=50,"senior",Table1[[#This Row],[age]]&gt;20,"adult",Table1[[#This Row],[age]]&lt;=20,"teenager")</f>
        <v>adult</v>
      </c>
      <c r="G225" s="3">
        <v>45606</v>
      </c>
      <c r="H225" s="1" t="str">
        <f>TEXT(Table1[[#This Row],[date]],"mmm")</f>
        <v>Nov</v>
      </c>
      <c r="I225" s="1" t="s">
        <v>673</v>
      </c>
      <c r="J225" s="1" t="s">
        <v>594</v>
      </c>
      <c r="K225" s="1" t="s">
        <v>35</v>
      </c>
      <c r="L225" s="1" t="s">
        <v>57</v>
      </c>
      <c r="M225" s="1" t="s">
        <v>45</v>
      </c>
      <c r="N225" s="1">
        <v>1</v>
      </c>
      <c r="O225" s="1" t="s">
        <v>17</v>
      </c>
      <c r="P225" s="1">
        <v>1152</v>
      </c>
      <c r="Q225" s="5" t="s">
        <v>672</v>
      </c>
      <c r="R225" s="11" t="s">
        <v>677</v>
      </c>
    </row>
    <row r="226" spans="1:18" x14ac:dyDescent="0.3">
      <c r="A226" s="4">
        <v>225</v>
      </c>
      <c r="B226" s="1" t="s">
        <v>294</v>
      </c>
      <c r="C226" s="1">
        <v>2834542</v>
      </c>
      <c r="D226" s="1" t="s">
        <v>15</v>
      </c>
      <c r="E226" s="1">
        <v>42</v>
      </c>
      <c r="F226" s="1" t="str" cm="1">
        <f t="array" ref="F226">_xlfn.IFS(Table1[[#This Row],[age]]&gt;=50,"senior",Table1[[#This Row],[age]]&gt;20,"adult",Table1[[#This Row],[age]]&lt;=20,"teenager")</f>
        <v>adult</v>
      </c>
      <c r="G226" s="3">
        <v>45607</v>
      </c>
      <c r="H226" s="1" t="str">
        <f>TEXT(Table1[[#This Row],[date]],"mmm")</f>
        <v>Nov</v>
      </c>
      <c r="I226" s="1" t="s">
        <v>675</v>
      </c>
      <c r="J226" s="1" t="s">
        <v>595</v>
      </c>
      <c r="K226" s="1" t="s">
        <v>38</v>
      </c>
      <c r="L226" s="1" t="s">
        <v>54</v>
      </c>
      <c r="M226" s="1" t="s">
        <v>45</v>
      </c>
      <c r="N226" s="1">
        <v>1</v>
      </c>
      <c r="O226" s="1" t="s">
        <v>17</v>
      </c>
      <c r="P226" s="1">
        <v>1200</v>
      </c>
      <c r="Q226" s="5" t="s">
        <v>672</v>
      </c>
      <c r="R226" s="11" t="s">
        <v>677</v>
      </c>
    </row>
    <row r="227" spans="1:18" x14ac:dyDescent="0.3">
      <c r="A227" s="4">
        <v>226</v>
      </c>
      <c r="B227" s="1" t="s">
        <v>295</v>
      </c>
      <c r="C227" s="1">
        <v>2845653</v>
      </c>
      <c r="D227" s="1" t="s">
        <v>15</v>
      </c>
      <c r="E227" s="1">
        <v>45</v>
      </c>
      <c r="F227" s="1" t="str" cm="1">
        <f t="array" ref="F227">_xlfn.IFS(Table1[[#This Row],[age]]&gt;=50,"senior",Table1[[#This Row],[age]]&gt;20,"adult",Table1[[#This Row],[age]]&lt;=20,"teenager")</f>
        <v>adult</v>
      </c>
      <c r="G227" s="3">
        <v>45608</v>
      </c>
      <c r="H227" s="1" t="str">
        <f>TEXT(Table1[[#This Row],[date]],"mmm")</f>
        <v>Nov</v>
      </c>
      <c r="I227" s="1" t="s">
        <v>673</v>
      </c>
      <c r="J227" s="1" t="s">
        <v>596</v>
      </c>
      <c r="K227" s="1" t="s">
        <v>38</v>
      </c>
      <c r="L227" s="1" t="s">
        <v>54</v>
      </c>
      <c r="M227" s="1" t="s">
        <v>45</v>
      </c>
      <c r="N227" s="1">
        <v>1</v>
      </c>
      <c r="O227" s="1" t="s">
        <v>17</v>
      </c>
      <c r="P227" s="1">
        <v>1248</v>
      </c>
      <c r="Q227" s="5" t="s">
        <v>672</v>
      </c>
      <c r="R227" s="11" t="s">
        <v>677</v>
      </c>
    </row>
    <row r="228" spans="1:18" x14ac:dyDescent="0.3">
      <c r="A228" s="4">
        <v>227</v>
      </c>
      <c r="B228" s="1" t="s">
        <v>296</v>
      </c>
      <c r="C228" s="1">
        <v>2856764</v>
      </c>
      <c r="D228" s="1" t="s">
        <v>15</v>
      </c>
      <c r="E228" s="1">
        <v>22</v>
      </c>
      <c r="F228" s="1" t="str" cm="1">
        <f t="array" ref="F228">_xlfn.IFS(Table1[[#This Row],[age]]&gt;=50,"senior",Table1[[#This Row],[age]]&gt;20,"adult",Table1[[#This Row],[age]]&lt;=20,"teenager")</f>
        <v>adult</v>
      </c>
      <c r="G228" s="3">
        <v>45609</v>
      </c>
      <c r="H228" s="1" t="str">
        <f>TEXT(Table1[[#This Row],[date]],"mmm")</f>
        <v>Nov</v>
      </c>
      <c r="I228" s="1" t="s">
        <v>673</v>
      </c>
      <c r="J228" s="1" t="s">
        <v>597</v>
      </c>
      <c r="K228" s="1" t="s">
        <v>38</v>
      </c>
      <c r="L228" s="1" t="s">
        <v>59</v>
      </c>
      <c r="M228" s="1" t="s">
        <v>45</v>
      </c>
      <c r="N228" s="1">
        <v>1</v>
      </c>
      <c r="O228" s="1" t="s">
        <v>17</v>
      </c>
      <c r="P228" s="1">
        <v>1296</v>
      </c>
      <c r="Q228" s="5" t="s">
        <v>23</v>
      </c>
      <c r="R228" s="11" t="s">
        <v>677</v>
      </c>
    </row>
    <row r="229" spans="1:18" x14ac:dyDescent="0.3">
      <c r="A229" s="4">
        <v>228</v>
      </c>
      <c r="B229" s="1" t="s">
        <v>297</v>
      </c>
      <c r="C229" s="1">
        <v>2867875</v>
      </c>
      <c r="D229" s="1" t="s">
        <v>15</v>
      </c>
      <c r="E229" s="1">
        <v>50</v>
      </c>
      <c r="F229" s="1" t="str" cm="1">
        <f t="array" ref="F229">_xlfn.IFS(Table1[[#This Row],[age]]&gt;=50,"senior",Table1[[#This Row],[age]]&gt;20,"adult",Table1[[#This Row],[age]]&lt;=20,"teenager")</f>
        <v>senior</v>
      </c>
      <c r="G229" s="3">
        <v>45610</v>
      </c>
      <c r="H229" s="1" t="str">
        <f>TEXT(Table1[[#This Row],[date]],"mmm")</f>
        <v>Nov</v>
      </c>
      <c r="I229" s="1" t="s">
        <v>673</v>
      </c>
      <c r="J229" s="1" t="s">
        <v>598</v>
      </c>
      <c r="K229" s="1" t="s">
        <v>36</v>
      </c>
      <c r="L229" s="1" t="s">
        <v>57</v>
      </c>
      <c r="M229" s="1" t="s">
        <v>42</v>
      </c>
      <c r="N229" s="1">
        <v>1</v>
      </c>
      <c r="O229" s="1" t="s">
        <v>17</v>
      </c>
      <c r="P229" s="1">
        <v>1345</v>
      </c>
      <c r="Q229" s="5" t="s">
        <v>23</v>
      </c>
      <c r="R229" s="11" t="s">
        <v>677</v>
      </c>
    </row>
    <row r="230" spans="1:18" x14ac:dyDescent="0.3">
      <c r="A230" s="4">
        <v>229</v>
      </c>
      <c r="B230" s="1" t="s">
        <v>298</v>
      </c>
      <c r="C230" s="1">
        <v>2878986</v>
      </c>
      <c r="D230" s="1" t="s">
        <v>15</v>
      </c>
      <c r="E230" s="1">
        <v>24</v>
      </c>
      <c r="F230" s="1" t="str" cm="1">
        <f t="array" ref="F230">_xlfn.IFS(Table1[[#This Row],[age]]&gt;=50,"senior",Table1[[#This Row],[age]]&gt;20,"adult",Table1[[#This Row],[age]]&lt;=20,"teenager")</f>
        <v>adult</v>
      </c>
      <c r="G230" s="3">
        <v>45611</v>
      </c>
      <c r="H230" s="1" t="str">
        <f>TEXT(Table1[[#This Row],[date]],"mmm")</f>
        <v>Nov</v>
      </c>
      <c r="I230" s="1" t="s">
        <v>673</v>
      </c>
      <c r="J230" s="1" t="s">
        <v>599</v>
      </c>
      <c r="K230" s="1" t="s">
        <v>36</v>
      </c>
      <c r="L230" s="1" t="s">
        <v>60</v>
      </c>
      <c r="M230" s="1" t="s">
        <v>41</v>
      </c>
      <c r="N230" s="1">
        <v>1</v>
      </c>
      <c r="O230" s="1" t="s">
        <v>17</v>
      </c>
      <c r="P230" s="1">
        <v>1378</v>
      </c>
      <c r="Q230" s="5" t="s">
        <v>23</v>
      </c>
      <c r="R230" s="11" t="s">
        <v>677</v>
      </c>
    </row>
    <row r="231" spans="1:18" x14ac:dyDescent="0.3">
      <c r="A231" s="4">
        <v>230</v>
      </c>
      <c r="B231" s="1" t="s">
        <v>299</v>
      </c>
      <c r="C231" s="1">
        <v>2890097</v>
      </c>
      <c r="D231" s="1" t="s">
        <v>15</v>
      </c>
      <c r="E231" s="1">
        <v>25</v>
      </c>
      <c r="F231" s="1" t="str" cm="1">
        <f t="array" ref="F231">_xlfn.IFS(Table1[[#This Row],[age]]&gt;=50,"senior",Table1[[#This Row],[age]]&gt;20,"adult",Table1[[#This Row],[age]]&lt;=20,"teenager")</f>
        <v>adult</v>
      </c>
      <c r="G231" s="3">
        <v>45612</v>
      </c>
      <c r="H231" s="1" t="str">
        <f>TEXT(Table1[[#This Row],[date]],"mmm")</f>
        <v>Nov</v>
      </c>
      <c r="I231" s="1" t="s">
        <v>673</v>
      </c>
      <c r="J231" s="1" t="s">
        <v>600</v>
      </c>
      <c r="K231" s="1" t="s">
        <v>36</v>
      </c>
      <c r="L231" s="1" t="s">
        <v>59</v>
      </c>
      <c r="M231" s="1" t="s">
        <v>41</v>
      </c>
      <c r="N231" s="1">
        <v>1</v>
      </c>
      <c r="O231" s="1" t="s">
        <v>17</v>
      </c>
      <c r="P231" s="1">
        <v>1411</v>
      </c>
      <c r="Q231" s="5" t="s">
        <v>23</v>
      </c>
      <c r="R231" s="11" t="s">
        <v>677</v>
      </c>
    </row>
    <row r="232" spans="1:18" x14ac:dyDescent="0.3">
      <c r="A232" s="4">
        <v>231</v>
      </c>
      <c r="B232" s="1" t="s">
        <v>300</v>
      </c>
      <c r="C232" s="1">
        <v>2901208</v>
      </c>
      <c r="D232" s="1" t="s">
        <v>16</v>
      </c>
      <c r="E232" s="1">
        <v>26</v>
      </c>
      <c r="F232" s="1" t="str" cm="1">
        <f t="array" ref="F232">_xlfn.IFS(Table1[[#This Row],[age]]&gt;=50,"senior",Table1[[#This Row],[age]]&gt;20,"adult",Table1[[#This Row],[age]]&lt;=20,"teenager")</f>
        <v>adult</v>
      </c>
      <c r="G232" s="3">
        <v>45613</v>
      </c>
      <c r="H232" s="1" t="str">
        <f>TEXT(Table1[[#This Row],[date]],"mmm")</f>
        <v>Nov</v>
      </c>
      <c r="I232" s="1" t="s">
        <v>673</v>
      </c>
      <c r="J232" s="1" t="s">
        <v>601</v>
      </c>
      <c r="K232" s="1" t="s">
        <v>36</v>
      </c>
      <c r="L232" s="1" t="s">
        <v>66</v>
      </c>
      <c r="M232" s="1" t="s">
        <v>41</v>
      </c>
      <c r="N232" s="1">
        <v>1</v>
      </c>
      <c r="O232" s="1" t="s">
        <v>17</v>
      </c>
      <c r="P232" s="1">
        <v>1444</v>
      </c>
      <c r="Q232" s="5" t="s">
        <v>18</v>
      </c>
      <c r="R232" s="11" t="s">
        <v>677</v>
      </c>
    </row>
    <row r="233" spans="1:18" x14ac:dyDescent="0.3">
      <c r="A233" s="4">
        <v>232</v>
      </c>
      <c r="B233" s="1" t="s">
        <v>301</v>
      </c>
      <c r="C233" s="1">
        <v>2912319</v>
      </c>
      <c r="D233" s="1" t="s">
        <v>16</v>
      </c>
      <c r="E233" s="1">
        <v>27</v>
      </c>
      <c r="F233" s="1" t="str" cm="1">
        <f t="array" ref="F233">_xlfn.IFS(Table1[[#This Row],[age]]&gt;=50,"senior",Table1[[#This Row],[age]]&gt;20,"adult",Table1[[#This Row],[age]]&lt;=20,"teenager")</f>
        <v>adult</v>
      </c>
      <c r="G233" s="3">
        <v>45614</v>
      </c>
      <c r="H233" s="1" t="str">
        <f>TEXT(Table1[[#This Row],[date]],"mmm")</f>
        <v>Nov</v>
      </c>
      <c r="I233" s="1" t="s">
        <v>673</v>
      </c>
      <c r="J233" s="1" t="s">
        <v>602</v>
      </c>
      <c r="K233" s="1" t="s">
        <v>36</v>
      </c>
      <c r="L233" s="1" t="s">
        <v>66</v>
      </c>
      <c r="M233" s="1" t="s">
        <v>41</v>
      </c>
      <c r="N233" s="1">
        <v>1</v>
      </c>
      <c r="O233" s="1" t="s">
        <v>17</v>
      </c>
      <c r="P233" s="1">
        <v>1477</v>
      </c>
      <c r="Q233" s="5" t="s">
        <v>27</v>
      </c>
      <c r="R233" s="11" t="s">
        <v>677</v>
      </c>
    </row>
    <row r="234" spans="1:18" x14ac:dyDescent="0.3">
      <c r="A234" s="4">
        <v>233</v>
      </c>
      <c r="B234" s="1" t="s">
        <v>302</v>
      </c>
      <c r="C234" s="1">
        <v>2923430</v>
      </c>
      <c r="D234" s="1" t="s">
        <v>16</v>
      </c>
      <c r="E234" s="1">
        <v>28</v>
      </c>
      <c r="F234" s="1" t="str" cm="1">
        <f t="array" ref="F234">_xlfn.IFS(Table1[[#This Row],[age]]&gt;=50,"senior",Table1[[#This Row],[age]]&gt;20,"adult",Table1[[#This Row],[age]]&lt;=20,"teenager")</f>
        <v>adult</v>
      </c>
      <c r="G234" s="3">
        <v>45615</v>
      </c>
      <c r="H234" s="1" t="str">
        <f>TEXT(Table1[[#This Row],[date]],"mmm")</f>
        <v>Nov</v>
      </c>
      <c r="I234" s="1" t="s">
        <v>673</v>
      </c>
      <c r="J234" s="1" t="s">
        <v>603</v>
      </c>
      <c r="K234" s="1" t="s">
        <v>36</v>
      </c>
      <c r="L234" s="1" t="s">
        <v>66</v>
      </c>
      <c r="M234" s="1" t="s">
        <v>41</v>
      </c>
      <c r="N234" s="1">
        <v>1</v>
      </c>
      <c r="O234" s="1" t="s">
        <v>17</v>
      </c>
      <c r="P234" s="1">
        <v>1510</v>
      </c>
      <c r="Q234" s="5" t="s">
        <v>27</v>
      </c>
      <c r="R234" s="11" t="s">
        <v>677</v>
      </c>
    </row>
    <row r="235" spans="1:18" x14ac:dyDescent="0.3">
      <c r="A235" s="4">
        <v>234</v>
      </c>
      <c r="B235" s="1" t="s">
        <v>303</v>
      </c>
      <c r="C235" s="1">
        <v>2934541</v>
      </c>
      <c r="D235" s="1" t="s">
        <v>16</v>
      </c>
      <c r="E235" s="1">
        <v>51</v>
      </c>
      <c r="F235" s="1" t="str" cm="1">
        <f t="array" ref="F235">_xlfn.IFS(Table1[[#This Row],[age]]&gt;=50,"senior",Table1[[#This Row],[age]]&gt;20,"adult",Table1[[#This Row],[age]]&lt;=20,"teenager")</f>
        <v>senior</v>
      </c>
      <c r="G235" s="3">
        <v>45616</v>
      </c>
      <c r="H235" s="1" t="str">
        <f>TEXT(Table1[[#This Row],[date]],"mmm")</f>
        <v>Nov</v>
      </c>
      <c r="I235" s="1" t="s">
        <v>673</v>
      </c>
      <c r="J235" s="1" t="s">
        <v>604</v>
      </c>
      <c r="K235" s="1" t="s">
        <v>39</v>
      </c>
      <c r="L235" s="1" t="s">
        <v>66</v>
      </c>
      <c r="M235" s="1" t="s">
        <v>44</v>
      </c>
      <c r="N235" s="1">
        <v>1</v>
      </c>
      <c r="O235" s="1" t="s">
        <v>17</v>
      </c>
      <c r="P235" s="1">
        <v>1543</v>
      </c>
      <c r="Q235" s="5" t="s">
        <v>18</v>
      </c>
      <c r="R235" s="11" t="s">
        <v>677</v>
      </c>
    </row>
    <row r="236" spans="1:18" x14ac:dyDescent="0.3">
      <c r="A236" s="4">
        <v>235</v>
      </c>
      <c r="B236" s="1" t="s">
        <v>304</v>
      </c>
      <c r="C236" s="1">
        <v>2945652</v>
      </c>
      <c r="D236" s="1" t="s">
        <v>16</v>
      </c>
      <c r="E236" s="1">
        <v>30</v>
      </c>
      <c r="F236" s="1" t="str" cm="1">
        <f t="array" ref="F236">_xlfn.IFS(Table1[[#This Row],[age]]&gt;=50,"senior",Table1[[#This Row],[age]]&gt;20,"adult",Table1[[#This Row],[age]]&lt;=20,"teenager")</f>
        <v>adult</v>
      </c>
      <c r="G236" s="3">
        <v>45617</v>
      </c>
      <c r="H236" s="1" t="str">
        <f>TEXT(Table1[[#This Row],[date]],"mmm")</f>
        <v>Nov</v>
      </c>
      <c r="I236" s="1" t="s">
        <v>673</v>
      </c>
      <c r="J236" s="1" t="s">
        <v>605</v>
      </c>
      <c r="K236" s="1" t="s">
        <v>39</v>
      </c>
      <c r="L236" s="1" t="s">
        <v>66</v>
      </c>
      <c r="M236" s="1" t="s">
        <v>43</v>
      </c>
      <c r="N236" s="1">
        <v>1</v>
      </c>
      <c r="O236" s="1" t="s">
        <v>17</v>
      </c>
      <c r="P236" s="1">
        <v>678</v>
      </c>
      <c r="Q236" s="5" t="s">
        <v>18</v>
      </c>
      <c r="R236" s="11" t="s">
        <v>677</v>
      </c>
    </row>
    <row r="237" spans="1:18" x14ac:dyDescent="0.3">
      <c r="A237" s="4">
        <v>236</v>
      </c>
      <c r="B237" s="1" t="s">
        <v>305</v>
      </c>
      <c r="C237" s="1">
        <v>2956763</v>
      </c>
      <c r="D237" s="1" t="s">
        <v>15</v>
      </c>
      <c r="E237" s="1">
        <v>52</v>
      </c>
      <c r="F237" s="1" t="str" cm="1">
        <f t="array" ref="F237">_xlfn.IFS(Table1[[#This Row],[age]]&gt;=50,"senior",Table1[[#This Row],[age]]&gt;20,"adult",Table1[[#This Row],[age]]&lt;=20,"teenager")</f>
        <v>senior</v>
      </c>
      <c r="G237" s="3">
        <v>45618</v>
      </c>
      <c r="H237" s="1" t="str">
        <f>TEXT(Table1[[#This Row],[date]],"mmm")</f>
        <v>Nov</v>
      </c>
      <c r="I237" s="1" t="s">
        <v>673</v>
      </c>
      <c r="J237" s="1" t="s">
        <v>606</v>
      </c>
      <c r="K237" s="1" t="s">
        <v>39</v>
      </c>
      <c r="L237" s="1" t="s">
        <v>58</v>
      </c>
      <c r="M237" s="1" t="s">
        <v>43</v>
      </c>
      <c r="N237" s="1">
        <v>1</v>
      </c>
      <c r="O237" s="1" t="s">
        <v>17</v>
      </c>
      <c r="P237" s="1">
        <v>900</v>
      </c>
      <c r="Q237" s="5" t="s">
        <v>18</v>
      </c>
      <c r="R237" s="11" t="s">
        <v>677</v>
      </c>
    </row>
    <row r="238" spans="1:18" x14ac:dyDescent="0.3">
      <c r="A238" s="4">
        <v>237</v>
      </c>
      <c r="B238" s="1" t="s">
        <v>306</v>
      </c>
      <c r="C238" s="1">
        <v>2967874</v>
      </c>
      <c r="D238" s="1" t="s">
        <v>15</v>
      </c>
      <c r="E238" s="1">
        <v>32</v>
      </c>
      <c r="F238" s="1" t="str" cm="1">
        <f t="array" ref="F238">_xlfn.IFS(Table1[[#This Row],[age]]&gt;=50,"senior",Table1[[#This Row],[age]]&gt;20,"adult",Table1[[#This Row],[age]]&lt;=20,"teenager")</f>
        <v>adult</v>
      </c>
      <c r="G238" s="3">
        <v>45618</v>
      </c>
      <c r="H238" s="1" t="str">
        <f>TEXT(Table1[[#This Row],[date]],"mmm")</f>
        <v>Nov</v>
      </c>
      <c r="I238" s="1" t="s">
        <v>673</v>
      </c>
      <c r="J238" s="1" t="s">
        <v>607</v>
      </c>
      <c r="K238" s="1" t="s">
        <v>39</v>
      </c>
      <c r="L238" s="1" t="s">
        <v>57</v>
      </c>
      <c r="M238" s="1" t="s">
        <v>43</v>
      </c>
      <c r="N238" s="1">
        <v>1</v>
      </c>
      <c r="O238" s="1" t="s">
        <v>17</v>
      </c>
      <c r="P238" s="1">
        <v>1122</v>
      </c>
      <c r="Q238" s="5" t="s">
        <v>18</v>
      </c>
      <c r="R238" s="11" t="s">
        <v>677</v>
      </c>
    </row>
    <row r="239" spans="1:18" x14ac:dyDescent="0.3">
      <c r="A239" s="4">
        <v>238</v>
      </c>
      <c r="B239" s="1" t="s">
        <v>307</v>
      </c>
      <c r="C239" s="1">
        <v>2978985</v>
      </c>
      <c r="D239" s="1" t="s">
        <v>15</v>
      </c>
      <c r="E239" s="1">
        <v>33</v>
      </c>
      <c r="F239" s="1" t="str" cm="1">
        <f t="array" ref="F239">_xlfn.IFS(Table1[[#This Row],[age]]&gt;=50,"senior",Table1[[#This Row],[age]]&gt;20,"adult",Table1[[#This Row],[age]]&lt;=20,"teenager")</f>
        <v>adult</v>
      </c>
      <c r="G239" s="3">
        <v>45619</v>
      </c>
      <c r="H239" s="1" t="str">
        <f>TEXT(Table1[[#This Row],[date]],"mmm")</f>
        <v>Nov</v>
      </c>
      <c r="I239" s="1" t="s">
        <v>673</v>
      </c>
      <c r="J239" s="1" t="s">
        <v>608</v>
      </c>
      <c r="K239" s="1" t="s">
        <v>49</v>
      </c>
      <c r="L239" s="1" t="s">
        <v>60</v>
      </c>
      <c r="M239" s="1" t="s">
        <v>43</v>
      </c>
      <c r="N239" s="1">
        <v>1</v>
      </c>
      <c r="O239" s="1" t="s">
        <v>17</v>
      </c>
      <c r="P239" s="1">
        <v>1344</v>
      </c>
      <c r="Q239" s="5" t="s">
        <v>33</v>
      </c>
      <c r="R239" s="11" t="s">
        <v>677</v>
      </c>
    </row>
    <row r="240" spans="1:18" x14ac:dyDescent="0.3">
      <c r="A240" s="4">
        <v>239</v>
      </c>
      <c r="B240" s="1" t="s">
        <v>308</v>
      </c>
      <c r="C240" s="1">
        <v>2990096</v>
      </c>
      <c r="D240" s="1" t="s">
        <v>15</v>
      </c>
      <c r="E240" s="1">
        <v>22</v>
      </c>
      <c r="F240" s="1" t="str" cm="1">
        <f t="array" ref="F240">_xlfn.IFS(Table1[[#This Row],[age]]&gt;=50,"senior",Table1[[#This Row],[age]]&gt;20,"adult",Table1[[#This Row],[age]]&lt;=20,"teenager")</f>
        <v>adult</v>
      </c>
      <c r="G240" s="3">
        <v>45620</v>
      </c>
      <c r="H240" s="1" t="str">
        <f>TEXT(Table1[[#This Row],[date]],"mmm")</f>
        <v>Nov</v>
      </c>
      <c r="I240" s="1" t="s">
        <v>673</v>
      </c>
      <c r="J240" s="1" t="s">
        <v>609</v>
      </c>
      <c r="K240" s="1" t="s">
        <v>49</v>
      </c>
      <c r="L240" s="1" t="s">
        <v>60</v>
      </c>
      <c r="M240" s="1" t="s">
        <v>44</v>
      </c>
      <c r="N240" s="1">
        <v>1</v>
      </c>
      <c r="O240" s="1" t="s">
        <v>17</v>
      </c>
      <c r="P240" s="1">
        <v>887</v>
      </c>
      <c r="Q240" s="5" t="s">
        <v>33</v>
      </c>
      <c r="R240" s="11" t="s">
        <v>677</v>
      </c>
    </row>
    <row r="241" spans="1:18" x14ac:dyDescent="0.3">
      <c r="A241" s="4">
        <v>240</v>
      </c>
      <c r="B241" s="1" t="s">
        <v>309</v>
      </c>
      <c r="C241" s="1">
        <v>3001207</v>
      </c>
      <c r="D241" s="1" t="s">
        <v>16</v>
      </c>
      <c r="E241" s="1">
        <v>22</v>
      </c>
      <c r="F241" s="1" t="str" cm="1">
        <f t="array" ref="F241">_xlfn.IFS(Table1[[#This Row],[age]]&gt;=50,"senior",Table1[[#This Row],[age]]&gt;20,"adult",Table1[[#This Row],[age]]&lt;=20,"teenager")</f>
        <v>adult</v>
      </c>
      <c r="G241" s="3">
        <v>45621</v>
      </c>
      <c r="H241" s="1" t="str">
        <f>TEXT(Table1[[#This Row],[date]],"mmm")</f>
        <v>Nov</v>
      </c>
      <c r="I241" s="1" t="s">
        <v>673</v>
      </c>
      <c r="J241" s="1" t="s">
        <v>610</v>
      </c>
      <c r="K241" s="1" t="s">
        <v>49</v>
      </c>
      <c r="L241" s="1" t="s">
        <v>66</v>
      </c>
      <c r="M241" s="1" t="s">
        <v>44</v>
      </c>
      <c r="N241" s="1">
        <v>1</v>
      </c>
      <c r="O241" s="1" t="s">
        <v>17</v>
      </c>
      <c r="P241" s="1">
        <v>456</v>
      </c>
      <c r="Q241" s="5" t="s">
        <v>33</v>
      </c>
      <c r="R241" s="11" t="s">
        <v>677</v>
      </c>
    </row>
    <row r="242" spans="1:18" x14ac:dyDescent="0.3">
      <c r="A242" s="4">
        <v>241</v>
      </c>
      <c r="B242" s="1" t="s">
        <v>310</v>
      </c>
      <c r="C242" s="1">
        <v>3012318</v>
      </c>
      <c r="D242" s="1" t="s">
        <v>16</v>
      </c>
      <c r="E242" s="1">
        <v>22</v>
      </c>
      <c r="F242" s="1" t="str" cm="1">
        <f t="array" ref="F242">_xlfn.IFS(Table1[[#This Row],[age]]&gt;=50,"senior",Table1[[#This Row],[age]]&gt;20,"adult",Table1[[#This Row],[age]]&lt;=20,"teenager")</f>
        <v>adult</v>
      </c>
      <c r="G242" s="3">
        <v>45621</v>
      </c>
      <c r="H242" s="1" t="str">
        <f>TEXT(Table1[[#This Row],[date]],"mmm")</f>
        <v>Nov</v>
      </c>
      <c r="I242" s="1" t="s">
        <v>673</v>
      </c>
      <c r="J242" s="1" t="s">
        <v>611</v>
      </c>
      <c r="K242" s="1" t="s">
        <v>49</v>
      </c>
      <c r="L242" s="1" t="s">
        <v>66</v>
      </c>
      <c r="M242" s="1" t="s">
        <v>44</v>
      </c>
      <c r="N242" s="1">
        <v>1</v>
      </c>
      <c r="O242" s="1" t="s">
        <v>17</v>
      </c>
      <c r="P242" s="1">
        <v>653</v>
      </c>
      <c r="Q242" s="5" t="s">
        <v>23</v>
      </c>
      <c r="R242" s="11" t="s">
        <v>677</v>
      </c>
    </row>
    <row r="243" spans="1:18" x14ac:dyDescent="0.3">
      <c r="A243" s="4">
        <v>242</v>
      </c>
      <c r="B243" s="1" t="s">
        <v>311</v>
      </c>
      <c r="C243" s="1">
        <v>3023429</v>
      </c>
      <c r="D243" s="1" t="s">
        <v>16</v>
      </c>
      <c r="E243" s="1">
        <v>22</v>
      </c>
      <c r="F243" s="1" t="str" cm="1">
        <f t="array" ref="F243">_xlfn.IFS(Table1[[#This Row],[age]]&gt;=50,"senior",Table1[[#This Row],[age]]&gt;20,"adult",Table1[[#This Row],[age]]&lt;=20,"teenager")</f>
        <v>adult</v>
      </c>
      <c r="G243" s="3">
        <v>45621</v>
      </c>
      <c r="H243" s="1" t="str">
        <f>TEXT(Table1[[#This Row],[date]],"mmm")</f>
        <v>Nov</v>
      </c>
      <c r="I243" s="1" t="s">
        <v>673</v>
      </c>
      <c r="J243" s="1" t="s">
        <v>612</v>
      </c>
      <c r="K243" s="1" t="s">
        <v>49</v>
      </c>
      <c r="L243" s="1" t="s">
        <v>66</v>
      </c>
      <c r="M243" s="1" t="s">
        <v>44</v>
      </c>
      <c r="N243" s="1">
        <v>1</v>
      </c>
      <c r="O243" s="1" t="s">
        <v>17</v>
      </c>
      <c r="P243" s="1">
        <v>850</v>
      </c>
      <c r="Q243" s="5" t="s">
        <v>23</v>
      </c>
      <c r="R243" s="11" t="s">
        <v>677</v>
      </c>
    </row>
    <row r="244" spans="1:18" x14ac:dyDescent="0.3">
      <c r="A244" s="4">
        <v>243</v>
      </c>
      <c r="B244" s="1" t="s">
        <v>312</v>
      </c>
      <c r="C244" s="1">
        <v>3034540</v>
      </c>
      <c r="D244" s="1" t="s">
        <v>16</v>
      </c>
      <c r="E244" s="1">
        <v>24</v>
      </c>
      <c r="F244" s="1" t="str" cm="1">
        <f t="array" ref="F244">_xlfn.IFS(Table1[[#This Row],[age]]&gt;=50,"senior",Table1[[#This Row],[age]]&gt;20,"adult",Table1[[#This Row],[age]]&lt;=20,"teenager")</f>
        <v>adult</v>
      </c>
      <c r="G244" s="3">
        <v>45621</v>
      </c>
      <c r="H244" s="1" t="str">
        <f>TEXT(Table1[[#This Row],[date]],"mmm")</f>
        <v>Nov</v>
      </c>
      <c r="I244" s="1" t="s">
        <v>673</v>
      </c>
      <c r="J244" s="1" t="s">
        <v>613</v>
      </c>
      <c r="K244" s="1" t="s">
        <v>34</v>
      </c>
      <c r="L244" s="1" t="s">
        <v>66</v>
      </c>
      <c r="M244" s="1" t="s">
        <v>44</v>
      </c>
      <c r="N244" s="1">
        <v>1</v>
      </c>
      <c r="O244" s="1" t="s">
        <v>17</v>
      </c>
      <c r="P244" s="1">
        <v>1047</v>
      </c>
      <c r="Q244" s="5" t="s">
        <v>23</v>
      </c>
      <c r="R244" s="11" t="s">
        <v>677</v>
      </c>
    </row>
    <row r="245" spans="1:18" x14ac:dyDescent="0.3">
      <c r="A245" s="4">
        <v>244</v>
      </c>
      <c r="B245" s="1" t="s">
        <v>313</v>
      </c>
      <c r="C245" s="1">
        <v>3045651</v>
      </c>
      <c r="D245" s="1" t="s">
        <v>16</v>
      </c>
      <c r="E245" s="1">
        <v>33</v>
      </c>
      <c r="F245" s="1" t="str" cm="1">
        <f t="array" ref="F245">_xlfn.IFS(Table1[[#This Row],[age]]&gt;=50,"senior",Table1[[#This Row],[age]]&gt;20,"adult",Table1[[#This Row],[age]]&lt;=20,"teenager")</f>
        <v>adult</v>
      </c>
      <c r="G245" s="3">
        <v>45621</v>
      </c>
      <c r="H245" s="1" t="str">
        <f>TEXT(Table1[[#This Row],[date]],"mmm")</f>
        <v>Nov</v>
      </c>
      <c r="I245" s="1" t="s">
        <v>673</v>
      </c>
      <c r="J245" s="1" t="s">
        <v>614</v>
      </c>
      <c r="K245" s="1" t="s">
        <v>34</v>
      </c>
      <c r="L245" s="1" t="s">
        <v>64</v>
      </c>
      <c r="M245" s="1" t="s">
        <v>44</v>
      </c>
      <c r="N245" s="1">
        <v>1</v>
      </c>
      <c r="O245" s="1" t="s">
        <v>17</v>
      </c>
      <c r="P245" s="1">
        <v>1244</v>
      </c>
      <c r="Q245" s="5" t="s">
        <v>24</v>
      </c>
      <c r="R245" s="11" t="s">
        <v>677</v>
      </c>
    </row>
    <row r="246" spans="1:18" x14ac:dyDescent="0.3">
      <c r="A246" s="4">
        <v>245</v>
      </c>
      <c r="B246" s="1" t="s">
        <v>314</v>
      </c>
      <c r="C246" s="1">
        <v>3056762</v>
      </c>
      <c r="D246" s="1" t="s">
        <v>15</v>
      </c>
      <c r="E246" s="1">
        <v>33</v>
      </c>
      <c r="F246" s="1" t="str" cm="1">
        <f t="array" ref="F246">_xlfn.IFS(Table1[[#This Row],[age]]&gt;=50,"senior",Table1[[#This Row],[age]]&gt;20,"adult",Table1[[#This Row],[age]]&lt;=20,"teenager")</f>
        <v>adult</v>
      </c>
      <c r="G246" s="3">
        <v>45621</v>
      </c>
      <c r="H246" s="1" t="str">
        <f>TEXT(Table1[[#This Row],[date]],"mmm")</f>
        <v>Nov</v>
      </c>
      <c r="I246" s="1" t="s">
        <v>673</v>
      </c>
      <c r="J246" s="1" t="s">
        <v>615</v>
      </c>
      <c r="K246" s="1" t="s">
        <v>34</v>
      </c>
      <c r="L246" s="1" t="s">
        <v>54</v>
      </c>
      <c r="M246" s="1" t="s">
        <v>41</v>
      </c>
      <c r="N246" s="1">
        <v>1</v>
      </c>
      <c r="O246" s="1" t="s">
        <v>17</v>
      </c>
      <c r="P246" s="1">
        <v>1441</v>
      </c>
      <c r="Q246" s="5" t="s">
        <v>18</v>
      </c>
      <c r="R246" s="11" t="s">
        <v>677</v>
      </c>
    </row>
    <row r="247" spans="1:18" x14ac:dyDescent="0.3">
      <c r="A247" s="4">
        <v>246</v>
      </c>
      <c r="B247" s="1" t="s">
        <v>315</v>
      </c>
      <c r="C247" s="1">
        <v>3067873</v>
      </c>
      <c r="D247" s="1" t="s">
        <v>16</v>
      </c>
      <c r="E247" s="1">
        <v>33</v>
      </c>
      <c r="F247" s="1" t="str" cm="1">
        <f t="array" ref="F247">_xlfn.IFS(Table1[[#This Row],[age]]&gt;=50,"senior",Table1[[#This Row],[age]]&gt;20,"adult",Table1[[#This Row],[age]]&lt;=20,"teenager")</f>
        <v>adult</v>
      </c>
      <c r="G247" s="3">
        <v>45622</v>
      </c>
      <c r="H247" s="1" t="str">
        <f>TEXT(Table1[[#This Row],[date]],"mmm")</f>
        <v>Nov</v>
      </c>
      <c r="I247" s="1" t="s">
        <v>673</v>
      </c>
      <c r="J247" s="1" t="s">
        <v>616</v>
      </c>
      <c r="K247" s="1" t="s">
        <v>34</v>
      </c>
      <c r="L247" s="1" t="s">
        <v>64</v>
      </c>
      <c r="M247" s="1" t="s">
        <v>41</v>
      </c>
      <c r="N247" s="1">
        <v>1</v>
      </c>
      <c r="O247" s="1" t="s">
        <v>17</v>
      </c>
      <c r="P247" s="1">
        <v>1638</v>
      </c>
      <c r="Q247" s="5" t="s">
        <v>18</v>
      </c>
      <c r="R247" s="11" t="s">
        <v>677</v>
      </c>
    </row>
    <row r="248" spans="1:18" x14ac:dyDescent="0.3">
      <c r="A248" s="4">
        <v>247</v>
      </c>
      <c r="B248" s="1" t="s">
        <v>316</v>
      </c>
      <c r="C248" s="1">
        <v>3078984</v>
      </c>
      <c r="D248" s="1" t="s">
        <v>16</v>
      </c>
      <c r="E248" s="1">
        <v>34</v>
      </c>
      <c r="F248" s="1" t="str" cm="1">
        <f t="array" ref="F248">_xlfn.IFS(Table1[[#This Row],[age]]&gt;=50,"senior",Table1[[#This Row],[age]]&gt;20,"adult",Table1[[#This Row],[age]]&lt;=20,"teenager")</f>
        <v>adult</v>
      </c>
      <c r="G248" s="3">
        <v>45622</v>
      </c>
      <c r="H248" s="1" t="str">
        <f>TEXT(Table1[[#This Row],[date]],"mmm")</f>
        <v>Nov</v>
      </c>
      <c r="I248" s="1" t="s">
        <v>673</v>
      </c>
      <c r="J248" s="1" t="s">
        <v>617</v>
      </c>
      <c r="K248" s="1" t="s">
        <v>36</v>
      </c>
      <c r="L248" s="1" t="s">
        <v>64</v>
      </c>
      <c r="M248" s="1" t="s">
        <v>41</v>
      </c>
      <c r="N248" s="1">
        <v>1</v>
      </c>
      <c r="O248" s="1" t="s">
        <v>17</v>
      </c>
      <c r="P248" s="1">
        <v>768</v>
      </c>
      <c r="Q248" s="5" t="s">
        <v>18</v>
      </c>
      <c r="R248" s="11" t="s">
        <v>677</v>
      </c>
    </row>
    <row r="249" spans="1:18" x14ac:dyDescent="0.3">
      <c r="A249" s="4">
        <v>248</v>
      </c>
      <c r="B249" s="1" t="s">
        <v>317</v>
      </c>
      <c r="C249" s="1">
        <v>3090095</v>
      </c>
      <c r="D249" s="1" t="s">
        <v>16</v>
      </c>
      <c r="E249" s="1">
        <v>36</v>
      </c>
      <c r="F249" s="1" t="str" cm="1">
        <f t="array" ref="F249">_xlfn.IFS(Table1[[#This Row],[age]]&gt;=50,"senior",Table1[[#This Row],[age]]&gt;20,"adult",Table1[[#This Row],[age]]&lt;=20,"teenager")</f>
        <v>adult</v>
      </c>
      <c r="G249" s="3">
        <v>45622</v>
      </c>
      <c r="H249" s="1" t="str">
        <f>TEXT(Table1[[#This Row],[date]],"mmm")</f>
        <v>Nov</v>
      </c>
      <c r="I249" s="1" t="s">
        <v>673</v>
      </c>
      <c r="J249" s="1" t="s">
        <v>618</v>
      </c>
      <c r="K249" s="1" t="s">
        <v>36</v>
      </c>
      <c r="L249" s="1" t="s">
        <v>64</v>
      </c>
      <c r="M249" s="1" t="s">
        <v>41</v>
      </c>
      <c r="N249" s="1">
        <v>1</v>
      </c>
      <c r="O249" s="1" t="s">
        <v>17</v>
      </c>
      <c r="P249" s="1">
        <v>876</v>
      </c>
      <c r="Q249" s="5" t="s">
        <v>24</v>
      </c>
      <c r="R249" s="11" t="s">
        <v>677</v>
      </c>
    </row>
    <row r="250" spans="1:18" x14ac:dyDescent="0.3">
      <c r="A250" s="4">
        <v>249</v>
      </c>
      <c r="B250" s="1" t="s">
        <v>318</v>
      </c>
      <c r="C250" s="1">
        <v>3101206</v>
      </c>
      <c r="D250" s="1" t="s">
        <v>15</v>
      </c>
      <c r="E250" s="1">
        <v>38</v>
      </c>
      <c r="F250" s="1" t="str" cm="1">
        <f t="array" ref="F250">_xlfn.IFS(Table1[[#This Row],[age]]&gt;=50,"senior",Table1[[#This Row],[age]]&gt;20,"adult",Table1[[#This Row],[age]]&lt;=20,"teenager")</f>
        <v>adult</v>
      </c>
      <c r="G250" s="3">
        <v>45622</v>
      </c>
      <c r="H250" s="1" t="str">
        <f>TEXT(Table1[[#This Row],[date]],"mmm")</f>
        <v>Nov</v>
      </c>
      <c r="I250" s="1" t="s">
        <v>673</v>
      </c>
      <c r="J250" s="1" t="s">
        <v>619</v>
      </c>
      <c r="K250" s="1" t="s">
        <v>36</v>
      </c>
      <c r="L250" s="1" t="s">
        <v>57</v>
      </c>
      <c r="M250" s="1" t="s">
        <v>41</v>
      </c>
      <c r="N250" s="1">
        <v>2</v>
      </c>
      <c r="O250" s="1" t="s">
        <v>17</v>
      </c>
      <c r="P250" s="1">
        <v>2778</v>
      </c>
      <c r="Q250" s="5" t="s">
        <v>27</v>
      </c>
      <c r="R250" s="11" t="s">
        <v>677</v>
      </c>
    </row>
    <row r="251" spans="1:18" x14ac:dyDescent="0.3">
      <c r="A251" s="4">
        <v>250</v>
      </c>
      <c r="B251" s="1" t="s">
        <v>319</v>
      </c>
      <c r="C251" s="1">
        <v>3112317</v>
      </c>
      <c r="D251" s="1" t="s">
        <v>16</v>
      </c>
      <c r="E251" s="1">
        <v>40</v>
      </c>
      <c r="F251" s="1" t="str" cm="1">
        <f t="array" ref="F251">_xlfn.IFS(Table1[[#This Row],[age]]&gt;=50,"senior",Table1[[#This Row],[age]]&gt;20,"adult",Table1[[#This Row],[age]]&lt;=20,"teenager")</f>
        <v>adult</v>
      </c>
      <c r="G251" s="3">
        <v>45622</v>
      </c>
      <c r="H251" s="1" t="str">
        <f>TEXT(Table1[[#This Row],[date]],"mmm")</f>
        <v>Nov</v>
      </c>
      <c r="I251" s="1" t="s">
        <v>673</v>
      </c>
      <c r="J251" s="1" t="s">
        <v>620</v>
      </c>
      <c r="K251" s="1" t="s">
        <v>36</v>
      </c>
      <c r="L251" s="1" t="s">
        <v>69</v>
      </c>
      <c r="M251" s="1" t="s">
        <v>46</v>
      </c>
      <c r="N251" s="1">
        <v>2</v>
      </c>
      <c r="O251" s="1" t="s">
        <v>17</v>
      </c>
      <c r="P251" s="1">
        <v>2426</v>
      </c>
      <c r="Q251" s="5" t="s">
        <v>27</v>
      </c>
      <c r="R251" s="11" t="s">
        <v>677</v>
      </c>
    </row>
    <row r="252" spans="1:18" x14ac:dyDescent="0.3">
      <c r="A252" s="4">
        <v>251</v>
      </c>
      <c r="B252" s="1" t="s">
        <v>320</v>
      </c>
      <c r="C252" s="1">
        <v>3123428</v>
      </c>
      <c r="D252" s="1" t="s">
        <v>16</v>
      </c>
      <c r="E252" s="1">
        <v>42</v>
      </c>
      <c r="F252" s="1" t="str" cm="1">
        <f t="array" ref="F252">_xlfn.IFS(Table1[[#This Row],[age]]&gt;=50,"senior",Table1[[#This Row],[age]]&gt;20,"adult",Table1[[#This Row],[age]]&lt;=20,"teenager")</f>
        <v>adult</v>
      </c>
      <c r="G252" s="3">
        <v>45622</v>
      </c>
      <c r="H252" s="1" t="str">
        <f>TEXT(Table1[[#This Row],[date]],"mmm")</f>
        <v>Nov</v>
      </c>
      <c r="I252" s="1" t="s">
        <v>673</v>
      </c>
      <c r="J252" s="1" t="s">
        <v>621</v>
      </c>
      <c r="K252" s="1" t="s">
        <v>36</v>
      </c>
      <c r="L252" s="1" t="s">
        <v>69</v>
      </c>
      <c r="M252" s="1" t="s">
        <v>46</v>
      </c>
      <c r="N252" s="1">
        <v>2</v>
      </c>
      <c r="O252" s="1" t="s">
        <v>17</v>
      </c>
      <c r="P252" s="1">
        <v>1456</v>
      </c>
      <c r="Q252" s="5" t="s">
        <v>27</v>
      </c>
      <c r="R252" s="11" t="s">
        <v>677</v>
      </c>
    </row>
    <row r="253" spans="1:18" x14ac:dyDescent="0.3">
      <c r="A253" s="4">
        <v>252</v>
      </c>
      <c r="B253" s="1" t="s">
        <v>321</v>
      </c>
      <c r="C253" s="1">
        <v>3134539</v>
      </c>
      <c r="D253" s="1" t="s">
        <v>15</v>
      </c>
      <c r="E253" s="1">
        <v>22</v>
      </c>
      <c r="F253" s="1" t="str" cm="1">
        <f t="array" ref="F253">_xlfn.IFS(Table1[[#This Row],[age]]&gt;=50,"senior",Table1[[#This Row],[age]]&gt;20,"adult",Table1[[#This Row],[age]]&lt;=20,"teenager")</f>
        <v>adult</v>
      </c>
      <c r="G253" s="3">
        <v>45623</v>
      </c>
      <c r="H253" s="1" t="str">
        <f>TEXT(Table1[[#This Row],[date]],"mmm")</f>
        <v>Nov</v>
      </c>
      <c r="I253" s="1" t="s">
        <v>673</v>
      </c>
      <c r="J253" s="1" t="s">
        <v>622</v>
      </c>
      <c r="K253" s="1" t="s">
        <v>35</v>
      </c>
      <c r="L253" s="1" t="s">
        <v>59</v>
      </c>
      <c r="M253" s="1" t="s">
        <v>46</v>
      </c>
      <c r="N253" s="1">
        <v>2</v>
      </c>
      <c r="O253" s="1" t="s">
        <v>17</v>
      </c>
      <c r="P253" s="1">
        <v>1488</v>
      </c>
      <c r="Q253" s="5" t="s">
        <v>27</v>
      </c>
      <c r="R253" s="11" t="s">
        <v>677</v>
      </c>
    </row>
    <row r="254" spans="1:18" x14ac:dyDescent="0.3">
      <c r="A254" s="4">
        <v>253</v>
      </c>
      <c r="B254" s="1" t="s">
        <v>322</v>
      </c>
      <c r="C254" s="1">
        <v>3145650</v>
      </c>
      <c r="D254" s="1" t="s">
        <v>15</v>
      </c>
      <c r="E254" s="1">
        <v>23</v>
      </c>
      <c r="F254" s="1" t="str" cm="1">
        <f t="array" ref="F254">_xlfn.IFS(Table1[[#This Row],[age]]&gt;=50,"senior",Table1[[#This Row],[age]]&gt;20,"adult",Table1[[#This Row],[age]]&lt;=20,"teenager")</f>
        <v>adult</v>
      </c>
      <c r="G254" s="3">
        <v>45624</v>
      </c>
      <c r="H254" s="1" t="str">
        <f>TEXT(Table1[[#This Row],[date]],"mmm")</f>
        <v>Nov</v>
      </c>
      <c r="I254" s="1" t="s">
        <v>673</v>
      </c>
      <c r="J254" s="1" t="s">
        <v>623</v>
      </c>
      <c r="K254" s="1" t="s">
        <v>35</v>
      </c>
      <c r="L254" s="1" t="s">
        <v>59</v>
      </c>
      <c r="M254" s="1" t="s">
        <v>41</v>
      </c>
      <c r="N254" s="1">
        <v>2</v>
      </c>
      <c r="O254" s="1" t="s">
        <v>17</v>
      </c>
      <c r="P254" s="1">
        <v>1520</v>
      </c>
      <c r="Q254" s="5" t="s">
        <v>27</v>
      </c>
      <c r="R254" s="11" t="s">
        <v>677</v>
      </c>
    </row>
    <row r="255" spans="1:18" x14ac:dyDescent="0.3">
      <c r="A255" s="4">
        <v>254</v>
      </c>
      <c r="B255" s="1" t="s">
        <v>323</v>
      </c>
      <c r="C255" s="1">
        <v>3156761</v>
      </c>
      <c r="D255" s="1" t="s">
        <v>15</v>
      </c>
      <c r="E255" s="1">
        <v>24</v>
      </c>
      <c r="F255" s="1" t="str" cm="1">
        <f t="array" ref="F255">_xlfn.IFS(Table1[[#This Row],[age]]&gt;=50,"senior",Table1[[#This Row],[age]]&gt;20,"adult",Table1[[#This Row],[age]]&lt;=20,"teenager")</f>
        <v>adult</v>
      </c>
      <c r="G255" s="3">
        <v>45625</v>
      </c>
      <c r="H255" s="1" t="str">
        <f>TEXT(Table1[[#This Row],[date]],"mmm")</f>
        <v>Nov</v>
      </c>
      <c r="I255" s="1" t="s">
        <v>673</v>
      </c>
      <c r="J255" s="1" t="s">
        <v>624</v>
      </c>
      <c r="K255" s="1" t="s">
        <v>35</v>
      </c>
      <c r="L255" s="1" t="s">
        <v>60</v>
      </c>
      <c r="M255" s="1" t="s">
        <v>41</v>
      </c>
      <c r="N255" s="1">
        <v>2</v>
      </c>
      <c r="O255" s="1" t="s">
        <v>17</v>
      </c>
      <c r="P255" s="1">
        <v>1552</v>
      </c>
      <c r="Q255" s="5" t="s">
        <v>27</v>
      </c>
      <c r="R255" s="11" t="s">
        <v>677</v>
      </c>
    </row>
    <row r="256" spans="1:18" x14ac:dyDescent="0.3">
      <c r="A256" s="4">
        <v>255</v>
      </c>
      <c r="B256" s="1" t="s">
        <v>324</v>
      </c>
      <c r="C256" s="1">
        <v>3167872</v>
      </c>
      <c r="D256" s="1" t="s">
        <v>15</v>
      </c>
      <c r="E256" s="1">
        <v>24</v>
      </c>
      <c r="F256" s="1" t="str" cm="1">
        <f t="array" ref="F256">_xlfn.IFS(Table1[[#This Row],[age]]&gt;=50,"senior",Table1[[#This Row],[age]]&gt;20,"adult",Table1[[#This Row],[age]]&lt;=20,"teenager")</f>
        <v>adult</v>
      </c>
      <c r="G256" s="3">
        <v>45626</v>
      </c>
      <c r="H256" s="1" t="str">
        <f>TEXT(Table1[[#This Row],[date]],"mmm")</f>
        <v>Nov</v>
      </c>
      <c r="I256" s="1" t="s">
        <v>673</v>
      </c>
      <c r="J256" s="1" t="s">
        <v>625</v>
      </c>
      <c r="K256" s="1" t="s">
        <v>35</v>
      </c>
      <c r="L256" s="1" t="s">
        <v>54</v>
      </c>
      <c r="M256" s="1" t="s">
        <v>41</v>
      </c>
      <c r="N256" s="1">
        <v>2</v>
      </c>
      <c r="O256" s="1" t="s">
        <v>17</v>
      </c>
      <c r="P256" s="1">
        <v>1584</v>
      </c>
      <c r="Q256" s="5" t="s">
        <v>29</v>
      </c>
      <c r="R256" s="11" t="s">
        <v>677</v>
      </c>
    </row>
    <row r="257" spans="1:18" x14ac:dyDescent="0.3">
      <c r="A257" s="4">
        <v>256</v>
      </c>
      <c r="B257" s="1" t="s">
        <v>325</v>
      </c>
      <c r="C257" s="1">
        <v>3178983</v>
      </c>
      <c r="D257" s="1" t="s">
        <v>15</v>
      </c>
      <c r="E257" s="1">
        <v>28</v>
      </c>
      <c r="F257" s="1" t="str" cm="1">
        <f t="array" ref="F257">_xlfn.IFS(Table1[[#This Row],[age]]&gt;=50,"senior",Table1[[#This Row],[age]]&gt;20,"adult",Table1[[#This Row],[age]]&lt;=20,"teenager")</f>
        <v>adult</v>
      </c>
      <c r="G257" s="3">
        <v>45627</v>
      </c>
      <c r="H257" s="1" t="str">
        <f>TEXT(Table1[[#This Row],[date]],"mmm")</f>
        <v>Dec</v>
      </c>
      <c r="I257" s="1" t="s">
        <v>673</v>
      </c>
      <c r="J257" s="1" t="s">
        <v>626</v>
      </c>
      <c r="K257" s="1" t="s">
        <v>35</v>
      </c>
      <c r="L257" s="1" t="s">
        <v>60</v>
      </c>
      <c r="M257" s="1" t="s">
        <v>41</v>
      </c>
      <c r="N257" s="1">
        <v>2</v>
      </c>
      <c r="O257" s="1" t="s">
        <v>17</v>
      </c>
      <c r="P257" s="1">
        <v>1616</v>
      </c>
      <c r="Q257" s="5" t="s">
        <v>29</v>
      </c>
      <c r="R257" s="11" t="s">
        <v>677</v>
      </c>
    </row>
    <row r="258" spans="1:18" x14ac:dyDescent="0.3">
      <c r="A258" s="4">
        <v>257</v>
      </c>
      <c r="B258" s="1" t="s">
        <v>326</v>
      </c>
      <c r="C258" s="1">
        <v>3190094</v>
      </c>
      <c r="D258" s="1" t="s">
        <v>15</v>
      </c>
      <c r="E258" s="1">
        <v>29</v>
      </c>
      <c r="F258" s="1" t="str" cm="1">
        <f t="array" ref="F258">_xlfn.IFS(Table1[[#This Row],[age]]&gt;=50,"senior",Table1[[#This Row],[age]]&gt;20,"adult",Table1[[#This Row],[age]]&lt;=20,"teenager")</f>
        <v>adult</v>
      </c>
      <c r="G258" s="3">
        <v>45628</v>
      </c>
      <c r="H258" s="1" t="str">
        <f>TEXT(Table1[[#This Row],[date]],"mmm")</f>
        <v>Dec</v>
      </c>
      <c r="I258" s="1" t="s">
        <v>674</v>
      </c>
      <c r="J258" s="1" t="s">
        <v>627</v>
      </c>
      <c r="K258" s="1" t="s">
        <v>49</v>
      </c>
      <c r="L258" s="1" t="s">
        <v>57</v>
      </c>
      <c r="M258" s="1" t="s">
        <v>42</v>
      </c>
      <c r="N258" s="1">
        <v>2</v>
      </c>
      <c r="O258" s="1" t="s">
        <v>17</v>
      </c>
      <c r="P258" s="1">
        <v>1648</v>
      </c>
      <c r="Q258" s="5" t="s">
        <v>29</v>
      </c>
      <c r="R258" s="11" t="s">
        <v>677</v>
      </c>
    </row>
    <row r="259" spans="1:18" x14ac:dyDescent="0.3">
      <c r="A259" s="4">
        <v>258</v>
      </c>
      <c r="B259" s="1" t="s">
        <v>327</v>
      </c>
      <c r="C259" s="1">
        <v>3201205</v>
      </c>
      <c r="D259" s="1" t="s">
        <v>16</v>
      </c>
      <c r="E259" s="1">
        <v>30</v>
      </c>
      <c r="F259" s="1" t="str" cm="1">
        <f t="array" ref="F259">_xlfn.IFS(Table1[[#This Row],[age]]&gt;=50,"senior",Table1[[#This Row],[age]]&gt;20,"adult",Table1[[#This Row],[age]]&lt;=20,"teenager")</f>
        <v>adult</v>
      </c>
      <c r="G259" s="3">
        <v>45629</v>
      </c>
      <c r="H259" s="1" t="str">
        <f>TEXT(Table1[[#This Row],[date]],"mmm")</f>
        <v>Dec</v>
      </c>
      <c r="I259" s="1" t="s">
        <v>673</v>
      </c>
      <c r="J259" s="1" t="s">
        <v>628</v>
      </c>
      <c r="K259" s="1" t="s">
        <v>48</v>
      </c>
      <c r="L259" s="1" t="s">
        <v>54</v>
      </c>
      <c r="M259" s="1" t="s">
        <v>42</v>
      </c>
      <c r="N259" s="1">
        <v>2</v>
      </c>
      <c r="O259" s="1" t="s">
        <v>17</v>
      </c>
      <c r="P259" s="1">
        <v>1680</v>
      </c>
      <c r="Q259" s="5" t="s">
        <v>672</v>
      </c>
      <c r="R259" s="11" t="s">
        <v>677</v>
      </c>
    </row>
    <row r="260" spans="1:18" x14ac:dyDescent="0.3">
      <c r="A260" s="4">
        <v>259</v>
      </c>
      <c r="B260" s="1" t="s">
        <v>328</v>
      </c>
      <c r="C260" s="1">
        <v>3212316</v>
      </c>
      <c r="D260" s="1" t="s">
        <v>16</v>
      </c>
      <c r="E260" s="1">
        <v>32</v>
      </c>
      <c r="F260" s="1" t="str" cm="1">
        <f t="array" ref="F260">_xlfn.IFS(Table1[[#This Row],[age]]&gt;=50,"senior",Table1[[#This Row],[age]]&gt;20,"adult",Table1[[#This Row],[age]]&lt;=20,"teenager")</f>
        <v>adult</v>
      </c>
      <c r="G260" s="3">
        <v>45630</v>
      </c>
      <c r="H260" s="1" t="str">
        <f>TEXT(Table1[[#This Row],[date]],"mmm")</f>
        <v>Dec</v>
      </c>
      <c r="I260" s="1" t="s">
        <v>673</v>
      </c>
      <c r="J260" s="1" t="s">
        <v>629</v>
      </c>
      <c r="K260" s="1" t="s">
        <v>48</v>
      </c>
      <c r="L260" s="1" t="s">
        <v>54</v>
      </c>
      <c r="M260" s="1" t="s">
        <v>42</v>
      </c>
      <c r="N260" s="1">
        <v>2</v>
      </c>
      <c r="O260" s="1" t="s">
        <v>17</v>
      </c>
      <c r="P260" s="1">
        <v>1712</v>
      </c>
      <c r="Q260" s="5" t="s">
        <v>672</v>
      </c>
      <c r="R260" s="11" t="s">
        <v>677</v>
      </c>
    </row>
    <row r="261" spans="1:18" x14ac:dyDescent="0.3">
      <c r="A261" s="4">
        <v>260</v>
      </c>
      <c r="B261" s="1" t="s">
        <v>329</v>
      </c>
      <c r="C261" s="1">
        <v>3223427</v>
      </c>
      <c r="D261" s="1" t="s">
        <v>16</v>
      </c>
      <c r="E261" s="1">
        <v>33</v>
      </c>
      <c r="F261" s="1" t="str" cm="1">
        <f t="array" ref="F261">_xlfn.IFS(Table1[[#This Row],[age]]&gt;=50,"senior",Table1[[#This Row],[age]]&gt;20,"adult",Table1[[#This Row],[age]]&lt;=20,"teenager")</f>
        <v>adult</v>
      </c>
      <c r="G261" s="3">
        <v>45631</v>
      </c>
      <c r="H261" s="1" t="str">
        <f>TEXT(Table1[[#This Row],[date]],"mmm")</f>
        <v>Dec</v>
      </c>
      <c r="I261" s="1" t="s">
        <v>673</v>
      </c>
      <c r="J261" s="1" t="s">
        <v>630</v>
      </c>
      <c r="K261" s="1" t="s">
        <v>39</v>
      </c>
      <c r="L261" s="1" t="s">
        <v>54</v>
      </c>
      <c r="M261" s="1" t="s">
        <v>42</v>
      </c>
      <c r="N261" s="1">
        <v>2</v>
      </c>
      <c r="O261" s="1" t="s">
        <v>17</v>
      </c>
      <c r="P261" s="1">
        <v>1744</v>
      </c>
      <c r="Q261" s="5" t="s">
        <v>672</v>
      </c>
      <c r="R261" s="11" t="s">
        <v>677</v>
      </c>
    </row>
    <row r="262" spans="1:18" x14ac:dyDescent="0.3">
      <c r="A262" s="4">
        <v>261</v>
      </c>
      <c r="B262" s="1" t="s">
        <v>330</v>
      </c>
      <c r="C262" s="1">
        <v>3234538</v>
      </c>
      <c r="D262" s="1" t="s">
        <v>16</v>
      </c>
      <c r="E262" s="1">
        <v>33</v>
      </c>
      <c r="F262" s="1" t="str" cm="1">
        <f t="array" ref="F262">_xlfn.IFS(Table1[[#This Row],[age]]&gt;=50,"senior",Table1[[#This Row],[age]]&gt;20,"adult",Table1[[#This Row],[age]]&lt;=20,"teenager")</f>
        <v>adult</v>
      </c>
      <c r="G262" s="3">
        <v>45632</v>
      </c>
      <c r="H262" s="1" t="str">
        <f>TEXT(Table1[[#This Row],[date]],"mmm")</f>
        <v>Dec</v>
      </c>
      <c r="I262" s="1" t="s">
        <v>673</v>
      </c>
      <c r="J262" s="1" t="s">
        <v>631</v>
      </c>
      <c r="K262" s="1" t="s">
        <v>39</v>
      </c>
      <c r="L262" s="1" t="s">
        <v>54</v>
      </c>
      <c r="M262" s="1" t="s">
        <v>42</v>
      </c>
      <c r="N262" s="1">
        <v>2</v>
      </c>
      <c r="O262" s="1" t="s">
        <v>17</v>
      </c>
      <c r="P262" s="1">
        <v>1776</v>
      </c>
      <c r="Q262" s="5" t="s">
        <v>23</v>
      </c>
      <c r="R262" s="11" t="s">
        <v>677</v>
      </c>
    </row>
    <row r="263" spans="1:18" x14ac:dyDescent="0.3">
      <c r="A263" s="4">
        <v>262</v>
      </c>
      <c r="B263" s="1" t="s">
        <v>331</v>
      </c>
      <c r="C263" s="1">
        <v>3245649</v>
      </c>
      <c r="D263" s="1" t="s">
        <v>16</v>
      </c>
      <c r="E263" s="1">
        <v>33</v>
      </c>
      <c r="F263" s="1" t="str" cm="1">
        <f t="array" ref="F263">_xlfn.IFS(Table1[[#This Row],[age]]&gt;=50,"senior",Table1[[#This Row],[age]]&gt;20,"adult",Table1[[#This Row],[age]]&lt;=20,"teenager")</f>
        <v>adult</v>
      </c>
      <c r="G263" s="3">
        <v>45633</v>
      </c>
      <c r="H263" s="1" t="str">
        <f>TEXT(Table1[[#This Row],[date]],"mmm")</f>
        <v>Dec</v>
      </c>
      <c r="I263" s="1" t="s">
        <v>673</v>
      </c>
      <c r="J263" s="1" t="s">
        <v>632</v>
      </c>
      <c r="K263" s="1" t="s">
        <v>39</v>
      </c>
      <c r="L263" s="1" t="s">
        <v>65</v>
      </c>
      <c r="M263" s="1" t="s">
        <v>40</v>
      </c>
      <c r="N263" s="1">
        <v>2</v>
      </c>
      <c r="O263" s="1" t="s">
        <v>17</v>
      </c>
      <c r="P263" s="1">
        <v>1808</v>
      </c>
      <c r="Q263" s="5" t="s">
        <v>23</v>
      </c>
      <c r="R263" s="11" t="s">
        <v>677</v>
      </c>
    </row>
    <row r="264" spans="1:18" x14ac:dyDescent="0.3">
      <c r="A264" s="4">
        <v>263</v>
      </c>
      <c r="B264" s="1" t="s">
        <v>332</v>
      </c>
      <c r="C264" s="1">
        <v>3256760</v>
      </c>
      <c r="D264" s="1" t="s">
        <v>16</v>
      </c>
      <c r="E264" s="1">
        <v>29</v>
      </c>
      <c r="F264" s="1" t="str" cm="1">
        <f t="array" ref="F264">_xlfn.IFS(Table1[[#This Row],[age]]&gt;=50,"senior",Table1[[#This Row],[age]]&gt;20,"adult",Table1[[#This Row],[age]]&lt;=20,"teenager")</f>
        <v>adult</v>
      </c>
      <c r="G264" s="3">
        <v>45634</v>
      </c>
      <c r="H264" s="1" t="str">
        <f>TEXT(Table1[[#This Row],[date]],"mmm")</f>
        <v>Dec</v>
      </c>
      <c r="I264" s="1" t="s">
        <v>674</v>
      </c>
      <c r="J264" s="1" t="s">
        <v>633</v>
      </c>
      <c r="K264" s="1" t="s">
        <v>39</v>
      </c>
      <c r="L264" s="1" t="s">
        <v>65</v>
      </c>
      <c r="M264" s="1" t="s">
        <v>40</v>
      </c>
      <c r="N264" s="1">
        <v>2</v>
      </c>
      <c r="O264" s="1" t="s">
        <v>17</v>
      </c>
      <c r="P264" s="1">
        <v>1276</v>
      </c>
      <c r="Q264" s="5" t="s">
        <v>23</v>
      </c>
      <c r="R264" s="11" t="s">
        <v>677</v>
      </c>
    </row>
    <row r="265" spans="1:18" x14ac:dyDescent="0.3">
      <c r="A265" s="4">
        <v>264</v>
      </c>
      <c r="B265" s="1" t="s">
        <v>333</v>
      </c>
      <c r="C265" s="1">
        <v>3267871</v>
      </c>
      <c r="D265" s="1" t="s">
        <v>15</v>
      </c>
      <c r="E265" s="1">
        <v>20</v>
      </c>
      <c r="F265" s="1" t="str" cm="1">
        <f t="array" ref="F265">_xlfn.IFS(Table1[[#This Row],[age]]&gt;=50,"senior",Table1[[#This Row],[age]]&gt;20,"adult",Table1[[#This Row],[age]]&lt;=20,"teenager")</f>
        <v>teenager</v>
      </c>
      <c r="G265" s="3">
        <v>45635</v>
      </c>
      <c r="H265" s="1" t="str">
        <f>TEXT(Table1[[#This Row],[date]],"mmm")</f>
        <v>Dec</v>
      </c>
      <c r="I265" s="1" t="s">
        <v>673</v>
      </c>
      <c r="J265" s="1" t="s">
        <v>634</v>
      </c>
      <c r="K265" s="1" t="s">
        <v>49</v>
      </c>
      <c r="L265" s="1" t="s">
        <v>60</v>
      </c>
      <c r="M265" s="1" t="s">
        <v>40</v>
      </c>
      <c r="N265" s="1">
        <v>2</v>
      </c>
      <c r="O265" s="1" t="s">
        <v>17</v>
      </c>
      <c r="P265" s="1">
        <v>1288</v>
      </c>
      <c r="Q265" s="5" t="s">
        <v>23</v>
      </c>
      <c r="R265" s="11" t="s">
        <v>677</v>
      </c>
    </row>
    <row r="266" spans="1:18" x14ac:dyDescent="0.3">
      <c r="A266" s="4">
        <v>265</v>
      </c>
      <c r="B266" s="1" t="s">
        <v>334</v>
      </c>
      <c r="C266" s="1">
        <v>3278982</v>
      </c>
      <c r="D266" s="1" t="s">
        <v>15</v>
      </c>
      <c r="E266" s="1">
        <v>20</v>
      </c>
      <c r="F266" s="1" t="str" cm="1">
        <f t="array" ref="F266">_xlfn.IFS(Table1[[#This Row],[age]]&gt;=50,"senior",Table1[[#This Row],[age]]&gt;20,"adult",Table1[[#This Row],[age]]&lt;=20,"teenager")</f>
        <v>teenager</v>
      </c>
      <c r="G266" s="3">
        <v>45636</v>
      </c>
      <c r="H266" s="1" t="str">
        <f>TEXT(Table1[[#This Row],[date]],"mmm")</f>
        <v>Dec</v>
      </c>
      <c r="I266" s="1" t="s">
        <v>673</v>
      </c>
      <c r="J266" s="1" t="s">
        <v>635</v>
      </c>
      <c r="K266" s="1" t="s">
        <v>38</v>
      </c>
      <c r="L266" s="1" t="s">
        <v>57</v>
      </c>
      <c r="M266" s="1" t="s">
        <v>40</v>
      </c>
      <c r="N266" s="1">
        <v>2</v>
      </c>
      <c r="O266" s="1" t="s">
        <v>17</v>
      </c>
      <c r="P266" s="1">
        <v>1300</v>
      </c>
      <c r="Q266" s="5" t="s">
        <v>18</v>
      </c>
      <c r="R266" s="11" t="s">
        <v>677</v>
      </c>
    </row>
    <row r="267" spans="1:18" x14ac:dyDescent="0.3">
      <c r="A267" s="4">
        <v>266</v>
      </c>
      <c r="B267" s="1" t="s">
        <v>335</v>
      </c>
      <c r="C267" s="1">
        <v>3290093</v>
      </c>
      <c r="D267" s="1" t="s">
        <v>16</v>
      </c>
      <c r="E267" s="1">
        <v>20</v>
      </c>
      <c r="F267" s="1" t="str" cm="1">
        <f t="array" ref="F267">_xlfn.IFS(Table1[[#This Row],[age]]&gt;=50,"senior",Table1[[#This Row],[age]]&gt;20,"adult",Table1[[#This Row],[age]]&lt;=20,"teenager")</f>
        <v>teenager</v>
      </c>
      <c r="G267" s="3">
        <v>45637</v>
      </c>
      <c r="H267" s="1" t="str">
        <f>TEXT(Table1[[#This Row],[date]],"mmm")</f>
        <v>Dec</v>
      </c>
      <c r="I267" s="1" t="s">
        <v>673</v>
      </c>
      <c r="J267" s="1" t="s">
        <v>636</v>
      </c>
      <c r="K267" s="1" t="s">
        <v>35</v>
      </c>
      <c r="L267" s="1" t="s">
        <v>59</v>
      </c>
      <c r="M267" s="1" t="s">
        <v>40</v>
      </c>
      <c r="N267" s="1">
        <v>2</v>
      </c>
      <c r="O267" s="1" t="s">
        <v>17</v>
      </c>
      <c r="P267" s="1">
        <v>1312</v>
      </c>
      <c r="Q267" s="5" t="s">
        <v>18</v>
      </c>
      <c r="R267" s="11" t="s">
        <v>677</v>
      </c>
    </row>
    <row r="268" spans="1:18" x14ac:dyDescent="0.3">
      <c r="A268" s="4">
        <v>267</v>
      </c>
      <c r="B268" s="1" t="s">
        <v>336</v>
      </c>
      <c r="C268" s="1">
        <v>3301204</v>
      </c>
      <c r="D268" s="1" t="s">
        <v>16</v>
      </c>
      <c r="E268" s="1">
        <v>22</v>
      </c>
      <c r="F268" s="1" t="str" cm="1">
        <f t="array" ref="F268">_xlfn.IFS(Table1[[#This Row],[age]]&gt;=50,"senior",Table1[[#This Row],[age]]&gt;20,"adult",Table1[[#This Row],[age]]&lt;=20,"teenager")</f>
        <v>adult</v>
      </c>
      <c r="G268" s="3">
        <v>45638</v>
      </c>
      <c r="H268" s="1" t="str">
        <f>TEXT(Table1[[#This Row],[date]],"mmm")</f>
        <v>Dec</v>
      </c>
      <c r="I268" s="1" t="s">
        <v>673</v>
      </c>
      <c r="J268" s="1" t="s">
        <v>637</v>
      </c>
      <c r="K268" s="1" t="s">
        <v>35</v>
      </c>
      <c r="L268" s="1" t="s">
        <v>62</v>
      </c>
      <c r="M268" s="1" t="s">
        <v>45</v>
      </c>
      <c r="N268" s="1">
        <v>2</v>
      </c>
      <c r="O268" s="1" t="s">
        <v>17</v>
      </c>
      <c r="P268" s="1">
        <v>1324</v>
      </c>
      <c r="Q268" s="5" t="s">
        <v>18</v>
      </c>
      <c r="R268" s="11" t="s">
        <v>677</v>
      </c>
    </row>
    <row r="269" spans="1:18" x14ac:dyDescent="0.3">
      <c r="A269" s="4">
        <v>268</v>
      </c>
      <c r="B269" s="1" t="s">
        <v>337</v>
      </c>
      <c r="C269" s="1">
        <v>3312315</v>
      </c>
      <c r="D269" s="1" t="s">
        <v>16</v>
      </c>
      <c r="E269" s="1">
        <v>23</v>
      </c>
      <c r="F269" s="1" t="str" cm="1">
        <f t="array" ref="F269">_xlfn.IFS(Table1[[#This Row],[age]]&gt;=50,"senior",Table1[[#This Row],[age]]&gt;20,"adult",Table1[[#This Row],[age]]&lt;=20,"teenager")</f>
        <v>adult</v>
      </c>
      <c r="G269" s="3">
        <v>45639</v>
      </c>
      <c r="H269" s="1" t="str">
        <f>TEXT(Table1[[#This Row],[date]],"mmm")</f>
        <v>Dec</v>
      </c>
      <c r="I269" s="1" t="s">
        <v>675</v>
      </c>
      <c r="J269" s="1" t="s">
        <v>638</v>
      </c>
      <c r="K269" s="1" t="s">
        <v>35</v>
      </c>
      <c r="L269" s="1" t="s">
        <v>62</v>
      </c>
      <c r="M269" s="1" t="s">
        <v>45</v>
      </c>
      <c r="N269" s="1">
        <v>2</v>
      </c>
      <c r="O269" s="1" t="s">
        <v>17</v>
      </c>
      <c r="P269" s="1">
        <v>1336</v>
      </c>
      <c r="Q269" s="5" t="s">
        <v>18</v>
      </c>
      <c r="R269" s="11" t="s">
        <v>677</v>
      </c>
    </row>
    <row r="270" spans="1:18" x14ac:dyDescent="0.3">
      <c r="A270" s="4">
        <v>269</v>
      </c>
      <c r="B270" s="1" t="s">
        <v>338</v>
      </c>
      <c r="C270" s="1">
        <v>3323426</v>
      </c>
      <c r="D270" s="1" t="s">
        <v>16</v>
      </c>
      <c r="E270" s="1">
        <v>23</v>
      </c>
      <c r="F270" s="1" t="str" cm="1">
        <f t="array" ref="F270">_xlfn.IFS(Table1[[#This Row],[age]]&gt;=50,"senior",Table1[[#This Row],[age]]&gt;20,"adult",Table1[[#This Row],[age]]&lt;=20,"teenager")</f>
        <v>adult</v>
      </c>
      <c r="G270" s="3">
        <v>45640</v>
      </c>
      <c r="H270" s="1" t="str">
        <f>TEXT(Table1[[#This Row],[date]],"mmm")</f>
        <v>Dec</v>
      </c>
      <c r="I270" s="1" t="s">
        <v>673</v>
      </c>
      <c r="J270" s="1" t="s">
        <v>639</v>
      </c>
      <c r="K270" s="1" t="s">
        <v>34</v>
      </c>
      <c r="L270" s="1" t="s">
        <v>62</v>
      </c>
      <c r="M270" s="1" t="s">
        <v>45</v>
      </c>
      <c r="N270" s="1">
        <v>2</v>
      </c>
      <c r="O270" s="1" t="s">
        <v>17</v>
      </c>
      <c r="P270" s="1">
        <v>1348</v>
      </c>
      <c r="Q270" s="5" t="s">
        <v>18</v>
      </c>
      <c r="R270" s="11" t="s">
        <v>677</v>
      </c>
    </row>
    <row r="271" spans="1:18" x14ac:dyDescent="0.3">
      <c r="A271" s="4">
        <v>270</v>
      </c>
      <c r="B271" s="1" t="s">
        <v>339</v>
      </c>
      <c r="C271" s="1">
        <v>3334537</v>
      </c>
      <c r="D271" s="1" t="s">
        <v>16</v>
      </c>
      <c r="E271" s="1">
        <v>23</v>
      </c>
      <c r="F271" s="1" t="str" cm="1">
        <f t="array" ref="F271">_xlfn.IFS(Table1[[#This Row],[age]]&gt;=50,"senior",Table1[[#This Row],[age]]&gt;20,"adult",Table1[[#This Row],[age]]&lt;=20,"teenager")</f>
        <v>adult</v>
      </c>
      <c r="G271" s="3">
        <v>45641</v>
      </c>
      <c r="H271" s="1" t="str">
        <f>TEXT(Table1[[#This Row],[date]],"mmm")</f>
        <v>Dec</v>
      </c>
      <c r="I271" s="1" t="s">
        <v>673</v>
      </c>
      <c r="J271" s="1" t="s">
        <v>640</v>
      </c>
      <c r="K271" s="1" t="s">
        <v>34</v>
      </c>
      <c r="L271" s="1" t="s">
        <v>62</v>
      </c>
      <c r="M271" s="1" t="s">
        <v>45</v>
      </c>
      <c r="N271" s="1">
        <v>2</v>
      </c>
      <c r="O271" s="1" t="s">
        <v>17</v>
      </c>
      <c r="P271" s="1">
        <v>1360</v>
      </c>
      <c r="Q271" s="5" t="s">
        <v>18</v>
      </c>
      <c r="R271" s="11" t="s">
        <v>677</v>
      </c>
    </row>
    <row r="272" spans="1:18" x14ac:dyDescent="0.3">
      <c r="A272" s="4">
        <v>271</v>
      </c>
      <c r="B272" s="1" t="s">
        <v>340</v>
      </c>
      <c r="C272" s="1">
        <v>3345648</v>
      </c>
      <c r="D272" s="1" t="s">
        <v>16</v>
      </c>
      <c r="E272" s="1">
        <v>38</v>
      </c>
      <c r="F272" s="1" t="str" cm="1">
        <f t="array" ref="F272">_xlfn.IFS(Table1[[#This Row],[age]]&gt;=50,"senior",Table1[[#This Row],[age]]&gt;20,"adult",Table1[[#This Row],[age]]&lt;=20,"teenager")</f>
        <v>adult</v>
      </c>
      <c r="G272" s="3">
        <v>45642</v>
      </c>
      <c r="H272" s="1" t="str">
        <f>TEXT(Table1[[#This Row],[date]],"mmm")</f>
        <v>Dec</v>
      </c>
      <c r="I272" s="1" t="s">
        <v>673</v>
      </c>
      <c r="J272" s="1" t="s">
        <v>641</v>
      </c>
      <c r="K272" s="1" t="s">
        <v>34</v>
      </c>
      <c r="L272" s="1" t="s">
        <v>62</v>
      </c>
      <c r="M272" s="1" t="s">
        <v>41</v>
      </c>
      <c r="N272" s="1">
        <v>2</v>
      </c>
      <c r="O272" s="1" t="s">
        <v>17</v>
      </c>
      <c r="P272" s="1">
        <v>1372</v>
      </c>
      <c r="Q272" s="5" t="s">
        <v>52</v>
      </c>
      <c r="R272" s="11" t="s">
        <v>677</v>
      </c>
    </row>
    <row r="273" spans="1:18" x14ac:dyDescent="0.3">
      <c r="A273" s="4">
        <v>272</v>
      </c>
      <c r="B273" s="1" t="s">
        <v>341</v>
      </c>
      <c r="C273" s="1">
        <v>3356759</v>
      </c>
      <c r="D273" s="1" t="s">
        <v>16</v>
      </c>
      <c r="E273" s="1">
        <v>39</v>
      </c>
      <c r="F273" s="1" t="str" cm="1">
        <f t="array" ref="F273">_xlfn.IFS(Table1[[#This Row],[age]]&gt;=50,"senior",Table1[[#This Row],[age]]&gt;20,"adult",Table1[[#This Row],[age]]&lt;=20,"teenager")</f>
        <v>adult</v>
      </c>
      <c r="G273" s="3">
        <v>45643</v>
      </c>
      <c r="H273" s="1" t="str">
        <f>TEXT(Table1[[#This Row],[date]],"mmm")</f>
        <v>Dec</v>
      </c>
      <c r="I273" s="1" t="s">
        <v>673</v>
      </c>
      <c r="J273" s="1" t="s">
        <v>642</v>
      </c>
      <c r="K273" s="1" t="s">
        <v>38</v>
      </c>
      <c r="L273" s="1" t="s">
        <v>671</v>
      </c>
      <c r="M273" s="1" t="s">
        <v>41</v>
      </c>
      <c r="N273" s="1">
        <v>2</v>
      </c>
      <c r="O273" s="1" t="s">
        <v>17</v>
      </c>
      <c r="P273" s="1">
        <v>1384</v>
      </c>
      <c r="Q273" s="5" t="s">
        <v>52</v>
      </c>
      <c r="R273" s="11" t="s">
        <v>677</v>
      </c>
    </row>
    <row r="274" spans="1:18" x14ac:dyDescent="0.3">
      <c r="A274" s="4">
        <v>273</v>
      </c>
      <c r="B274" s="1" t="s">
        <v>342</v>
      </c>
      <c r="C274" s="1">
        <v>3367870</v>
      </c>
      <c r="D274" s="1" t="s">
        <v>16</v>
      </c>
      <c r="E274" s="1">
        <v>24</v>
      </c>
      <c r="F274" s="1" t="str" cm="1">
        <f t="array" ref="F274">_xlfn.IFS(Table1[[#This Row],[age]]&gt;=50,"senior",Table1[[#This Row],[age]]&gt;20,"adult",Table1[[#This Row],[age]]&lt;=20,"teenager")</f>
        <v>adult</v>
      </c>
      <c r="G274" s="3">
        <v>45644</v>
      </c>
      <c r="H274" s="1" t="str">
        <f>TEXT(Table1[[#This Row],[date]],"mmm")</f>
        <v>Dec</v>
      </c>
      <c r="I274" s="1" t="s">
        <v>673</v>
      </c>
      <c r="J274" s="1" t="s">
        <v>643</v>
      </c>
      <c r="K274" s="1" t="s">
        <v>38</v>
      </c>
      <c r="L274" s="1" t="s">
        <v>671</v>
      </c>
      <c r="M274" s="1" t="s">
        <v>41</v>
      </c>
      <c r="N274" s="1">
        <v>2</v>
      </c>
      <c r="O274" s="1" t="s">
        <v>17</v>
      </c>
      <c r="P274" s="1">
        <v>1396</v>
      </c>
      <c r="Q274" s="5" t="s">
        <v>52</v>
      </c>
      <c r="R274" s="11" t="s">
        <v>677</v>
      </c>
    </row>
    <row r="275" spans="1:18" x14ac:dyDescent="0.3">
      <c r="A275" s="4">
        <v>274</v>
      </c>
      <c r="B275" s="1" t="s">
        <v>343</v>
      </c>
      <c r="C275" s="1">
        <v>3378981</v>
      </c>
      <c r="D275" s="1" t="s">
        <v>15</v>
      </c>
      <c r="E275" s="1">
        <v>28</v>
      </c>
      <c r="F275" s="1" t="str" cm="1">
        <f t="array" ref="F275">_xlfn.IFS(Table1[[#This Row],[age]]&gt;=50,"senior",Table1[[#This Row],[age]]&gt;20,"adult",Table1[[#This Row],[age]]&lt;=20,"teenager")</f>
        <v>adult</v>
      </c>
      <c r="G275" s="3">
        <v>45645</v>
      </c>
      <c r="H275" s="1" t="str">
        <f>TEXT(Table1[[#This Row],[date]],"mmm")</f>
        <v>Dec</v>
      </c>
      <c r="I275" s="1" t="s">
        <v>673</v>
      </c>
      <c r="J275" s="1" t="s">
        <v>644</v>
      </c>
      <c r="K275" s="1" t="s">
        <v>35</v>
      </c>
      <c r="L275" s="1" t="s">
        <v>59</v>
      </c>
      <c r="M275" s="1" t="s">
        <v>41</v>
      </c>
      <c r="N275" s="1">
        <v>2</v>
      </c>
      <c r="O275" s="1" t="s">
        <v>17</v>
      </c>
      <c r="P275" s="1">
        <v>1408</v>
      </c>
      <c r="Q275" s="5" t="s">
        <v>52</v>
      </c>
      <c r="R275" s="11" t="s">
        <v>677</v>
      </c>
    </row>
    <row r="276" spans="1:18" x14ac:dyDescent="0.3">
      <c r="A276" s="4">
        <v>275</v>
      </c>
      <c r="B276" s="1" t="s">
        <v>344</v>
      </c>
      <c r="C276" s="1">
        <v>3390092</v>
      </c>
      <c r="D276" s="1" t="s">
        <v>16</v>
      </c>
      <c r="E276" s="1">
        <v>32</v>
      </c>
      <c r="F276" s="1" t="str" cm="1">
        <f t="array" ref="F276">_xlfn.IFS(Table1[[#This Row],[age]]&gt;=50,"senior",Table1[[#This Row],[age]]&gt;20,"adult",Table1[[#This Row],[age]]&lt;=20,"teenager")</f>
        <v>adult</v>
      </c>
      <c r="G276" s="3">
        <v>45646</v>
      </c>
      <c r="H276" s="1" t="str">
        <f>TEXT(Table1[[#This Row],[date]],"mmm")</f>
        <v>Dec</v>
      </c>
      <c r="I276" s="1" t="s">
        <v>673</v>
      </c>
      <c r="J276" s="1" t="s">
        <v>645</v>
      </c>
      <c r="K276" s="1" t="s">
        <v>35</v>
      </c>
      <c r="L276" s="1" t="s">
        <v>59</v>
      </c>
      <c r="M276" s="1" t="s">
        <v>41</v>
      </c>
      <c r="N276" s="1">
        <v>2</v>
      </c>
      <c r="O276" s="1" t="s">
        <v>17</v>
      </c>
      <c r="P276" s="1">
        <v>1420</v>
      </c>
      <c r="Q276" s="5" t="s">
        <v>51</v>
      </c>
      <c r="R276" s="11" t="s">
        <v>677</v>
      </c>
    </row>
    <row r="277" spans="1:18" x14ac:dyDescent="0.3">
      <c r="A277" s="4">
        <v>276</v>
      </c>
      <c r="B277" s="1" t="s">
        <v>345</v>
      </c>
      <c r="C277" s="1">
        <v>3401203</v>
      </c>
      <c r="D277" s="1" t="s">
        <v>16</v>
      </c>
      <c r="E277" s="1">
        <v>36</v>
      </c>
      <c r="F277" s="1" t="str" cm="1">
        <f t="array" ref="F277">_xlfn.IFS(Table1[[#This Row],[age]]&gt;=50,"senior",Table1[[#This Row],[age]]&gt;20,"adult",Table1[[#This Row],[age]]&lt;=20,"teenager")</f>
        <v>adult</v>
      </c>
      <c r="G277" s="3">
        <v>45647</v>
      </c>
      <c r="H277" s="1" t="str">
        <f>TEXT(Table1[[#This Row],[date]],"mmm")</f>
        <v>Dec</v>
      </c>
      <c r="I277" s="1" t="s">
        <v>675</v>
      </c>
      <c r="J277" s="1" t="s">
        <v>646</v>
      </c>
      <c r="K277" s="1" t="s">
        <v>35</v>
      </c>
      <c r="L277" s="1" t="s">
        <v>59</v>
      </c>
      <c r="M277" s="1" t="s">
        <v>41</v>
      </c>
      <c r="N277" s="1">
        <v>2</v>
      </c>
      <c r="O277" s="1" t="s">
        <v>17</v>
      </c>
      <c r="P277" s="1">
        <v>1432</v>
      </c>
      <c r="Q277" s="5" t="s">
        <v>27</v>
      </c>
      <c r="R277" s="11" t="s">
        <v>677</v>
      </c>
    </row>
    <row r="278" spans="1:18" x14ac:dyDescent="0.3">
      <c r="A278" s="4">
        <v>277</v>
      </c>
      <c r="B278" s="1" t="s">
        <v>346</v>
      </c>
      <c r="C278" s="1">
        <v>3412314</v>
      </c>
      <c r="D278" s="1" t="s">
        <v>16</v>
      </c>
      <c r="E278" s="1">
        <v>40</v>
      </c>
      <c r="F278" s="1" t="str" cm="1">
        <f t="array" ref="F278">_xlfn.IFS(Table1[[#This Row],[age]]&gt;=50,"senior",Table1[[#This Row],[age]]&gt;20,"adult",Table1[[#This Row],[age]]&lt;=20,"teenager")</f>
        <v>adult</v>
      </c>
      <c r="G278" s="3">
        <v>45651</v>
      </c>
      <c r="H278" s="1" t="str">
        <f>TEXT(Table1[[#This Row],[date]],"mmm")</f>
        <v>Dec</v>
      </c>
      <c r="I278" s="1" t="s">
        <v>673</v>
      </c>
      <c r="J278" s="1" t="s">
        <v>647</v>
      </c>
      <c r="K278" s="1" t="s">
        <v>35</v>
      </c>
      <c r="L278" s="1" t="s">
        <v>61</v>
      </c>
      <c r="M278" s="1" t="s">
        <v>41</v>
      </c>
      <c r="N278" s="1">
        <v>2</v>
      </c>
      <c r="O278" s="1" t="s">
        <v>17</v>
      </c>
      <c r="P278" s="1">
        <v>678</v>
      </c>
      <c r="Q278" s="5" t="s">
        <v>27</v>
      </c>
      <c r="R278" s="11" t="s">
        <v>677</v>
      </c>
    </row>
    <row r="279" spans="1:18" x14ac:dyDescent="0.3">
      <c r="A279" s="4">
        <v>278</v>
      </c>
      <c r="B279" s="1" t="s">
        <v>347</v>
      </c>
      <c r="C279" s="1">
        <v>3423425</v>
      </c>
      <c r="D279" s="1" t="s">
        <v>16</v>
      </c>
      <c r="E279" s="1">
        <v>44</v>
      </c>
      <c r="F279" s="1" t="str" cm="1">
        <f t="array" ref="F279">_xlfn.IFS(Table1[[#This Row],[age]]&gt;=50,"senior",Table1[[#This Row],[age]]&gt;20,"adult",Table1[[#This Row],[age]]&lt;=20,"teenager")</f>
        <v>adult</v>
      </c>
      <c r="G279" s="3">
        <v>45651</v>
      </c>
      <c r="H279" s="1" t="str">
        <f>TEXT(Table1[[#This Row],[date]],"mmm")</f>
        <v>Dec</v>
      </c>
      <c r="I279" s="1" t="s">
        <v>673</v>
      </c>
      <c r="J279" s="1" t="s">
        <v>648</v>
      </c>
      <c r="K279" s="1" t="s">
        <v>36</v>
      </c>
      <c r="L279" s="1" t="s">
        <v>62</v>
      </c>
      <c r="M279" s="1" t="s">
        <v>40</v>
      </c>
      <c r="N279" s="1">
        <v>2</v>
      </c>
      <c r="O279" s="1" t="s">
        <v>17</v>
      </c>
      <c r="P279" s="1">
        <v>765</v>
      </c>
      <c r="Q279" s="5" t="s">
        <v>27</v>
      </c>
      <c r="R279" s="11" t="s">
        <v>677</v>
      </c>
    </row>
    <row r="280" spans="1:18" x14ac:dyDescent="0.3">
      <c r="A280" s="4">
        <v>279</v>
      </c>
      <c r="B280" s="1" t="s">
        <v>348</v>
      </c>
      <c r="C280" s="1">
        <v>3434536</v>
      </c>
      <c r="D280" s="1" t="s">
        <v>16</v>
      </c>
      <c r="E280" s="1">
        <v>48</v>
      </c>
      <c r="F280" s="1" t="str" cm="1">
        <f t="array" ref="F280">_xlfn.IFS(Table1[[#This Row],[age]]&gt;=50,"senior",Table1[[#This Row],[age]]&gt;20,"adult",Table1[[#This Row],[age]]&lt;=20,"teenager")</f>
        <v>adult</v>
      </c>
      <c r="G280" s="3">
        <v>45651</v>
      </c>
      <c r="H280" s="1" t="str">
        <f>TEXT(Table1[[#This Row],[date]],"mmm")</f>
        <v>Dec</v>
      </c>
      <c r="I280" s="1" t="s">
        <v>673</v>
      </c>
      <c r="J280" s="1" t="s">
        <v>649</v>
      </c>
      <c r="K280" s="1" t="s">
        <v>36</v>
      </c>
      <c r="L280" s="1" t="s">
        <v>62</v>
      </c>
      <c r="M280" s="1" t="s">
        <v>40</v>
      </c>
      <c r="N280" s="1">
        <v>2</v>
      </c>
      <c r="O280" s="1" t="s">
        <v>17</v>
      </c>
      <c r="P280" s="1">
        <v>852</v>
      </c>
      <c r="Q280" s="5" t="s">
        <v>24</v>
      </c>
      <c r="R280" s="11" t="s">
        <v>677</v>
      </c>
    </row>
    <row r="281" spans="1:18" x14ac:dyDescent="0.3">
      <c r="A281" s="4">
        <v>280</v>
      </c>
      <c r="B281" s="1" t="s">
        <v>349</v>
      </c>
      <c r="C281" s="1">
        <v>3445647</v>
      </c>
      <c r="D281" s="1" t="s">
        <v>16</v>
      </c>
      <c r="E281" s="1">
        <v>33</v>
      </c>
      <c r="F281" s="1" t="str" cm="1">
        <f t="array" ref="F281">_xlfn.IFS(Table1[[#This Row],[age]]&gt;=50,"senior",Table1[[#This Row],[age]]&gt;20,"adult",Table1[[#This Row],[age]]&lt;=20,"teenager")</f>
        <v>adult</v>
      </c>
      <c r="G281" s="3">
        <v>45651</v>
      </c>
      <c r="H281" s="1" t="str">
        <f>TEXT(Table1[[#This Row],[date]],"mmm")</f>
        <v>Dec</v>
      </c>
      <c r="I281" s="1" t="s">
        <v>675</v>
      </c>
      <c r="J281" s="1" t="s">
        <v>650</v>
      </c>
      <c r="K281" s="1" t="s">
        <v>36</v>
      </c>
      <c r="L281" s="1" t="s">
        <v>62</v>
      </c>
      <c r="M281" s="1" t="s">
        <v>40</v>
      </c>
      <c r="N281" s="1">
        <v>2</v>
      </c>
      <c r="O281" s="1" t="s">
        <v>17</v>
      </c>
      <c r="P281" s="1">
        <v>939</v>
      </c>
      <c r="Q281" s="5" t="s">
        <v>24</v>
      </c>
      <c r="R281" s="11" t="s">
        <v>677</v>
      </c>
    </row>
    <row r="282" spans="1:18" x14ac:dyDescent="0.3">
      <c r="A282" s="4">
        <v>281</v>
      </c>
      <c r="B282" s="1" t="s">
        <v>350</v>
      </c>
      <c r="C282" s="1">
        <v>3456758</v>
      </c>
      <c r="D282" s="1" t="s">
        <v>16</v>
      </c>
      <c r="E282" s="1">
        <v>35</v>
      </c>
      <c r="F282" s="1" t="str" cm="1">
        <f t="array" ref="F282">_xlfn.IFS(Table1[[#This Row],[age]]&gt;=50,"senior",Table1[[#This Row],[age]]&gt;20,"adult",Table1[[#This Row],[age]]&lt;=20,"teenager")</f>
        <v>adult</v>
      </c>
      <c r="G282" s="3">
        <v>45655</v>
      </c>
      <c r="H282" s="1" t="str">
        <f>TEXT(Table1[[#This Row],[date]],"mmm")</f>
        <v>Dec</v>
      </c>
      <c r="I282" s="1" t="s">
        <v>673</v>
      </c>
      <c r="J282" s="1" t="s">
        <v>651</v>
      </c>
      <c r="K282" s="1" t="s">
        <v>36</v>
      </c>
      <c r="L282" s="1" t="s">
        <v>62</v>
      </c>
      <c r="M282" s="1" t="s">
        <v>40</v>
      </c>
      <c r="N282" s="1">
        <v>3</v>
      </c>
      <c r="O282" s="1" t="s">
        <v>17</v>
      </c>
      <c r="P282" s="1">
        <v>1026</v>
      </c>
      <c r="Q282" s="5" t="s">
        <v>24</v>
      </c>
      <c r="R282" s="11" t="s">
        <v>677</v>
      </c>
    </row>
    <row r="283" spans="1:18" x14ac:dyDescent="0.3">
      <c r="A283" s="4">
        <v>282</v>
      </c>
      <c r="B283" s="1" t="s">
        <v>351</v>
      </c>
      <c r="C283" s="1">
        <v>3467869</v>
      </c>
      <c r="D283" s="1" t="s">
        <v>15</v>
      </c>
      <c r="E283" s="1">
        <v>37</v>
      </c>
      <c r="F283" s="1" t="str" cm="1">
        <f t="array" ref="F283">_xlfn.IFS(Table1[[#This Row],[age]]&gt;=50,"senior",Table1[[#This Row],[age]]&gt;20,"adult",Table1[[#This Row],[age]]&lt;=20,"teenager")</f>
        <v>adult</v>
      </c>
      <c r="G283" s="3">
        <v>45659</v>
      </c>
      <c r="H283" s="1" t="str">
        <f>TEXT(Table1[[#This Row],[date]],"mmm")</f>
        <v>Jan</v>
      </c>
      <c r="I283" s="1" t="s">
        <v>673</v>
      </c>
      <c r="J283" s="1" t="s">
        <v>652</v>
      </c>
      <c r="K283" s="1" t="s">
        <v>48</v>
      </c>
      <c r="L283" s="1" t="s">
        <v>60</v>
      </c>
      <c r="M283" s="1" t="s">
        <v>40</v>
      </c>
      <c r="N283" s="1">
        <v>3</v>
      </c>
      <c r="O283" s="1" t="s">
        <v>17</v>
      </c>
      <c r="P283" s="1">
        <v>1113</v>
      </c>
      <c r="Q283" s="5" t="s">
        <v>33</v>
      </c>
      <c r="R283" s="11" t="s">
        <v>677</v>
      </c>
    </row>
    <row r="284" spans="1:18" x14ac:dyDescent="0.3">
      <c r="A284" s="4">
        <v>283</v>
      </c>
      <c r="B284" s="1" t="s">
        <v>352</v>
      </c>
      <c r="C284" s="1">
        <v>3478980</v>
      </c>
      <c r="D284" s="1" t="s">
        <v>16</v>
      </c>
      <c r="E284" s="1">
        <v>39</v>
      </c>
      <c r="F284" s="1" t="str" cm="1">
        <f t="array" ref="F284">_xlfn.IFS(Table1[[#This Row],[age]]&gt;=50,"senior",Table1[[#This Row],[age]]&gt;20,"adult",Table1[[#This Row],[age]]&lt;=20,"teenager")</f>
        <v>adult</v>
      </c>
      <c r="G284" s="3">
        <v>45663</v>
      </c>
      <c r="H284" s="1" t="str">
        <f>TEXT(Table1[[#This Row],[date]],"mmm")</f>
        <v>Jan</v>
      </c>
      <c r="I284" s="1" t="s">
        <v>673</v>
      </c>
      <c r="J284" s="1" t="s">
        <v>653</v>
      </c>
      <c r="K284" s="1" t="s">
        <v>48</v>
      </c>
      <c r="L284" s="1" t="s">
        <v>60</v>
      </c>
      <c r="M284" s="1" t="s">
        <v>42</v>
      </c>
      <c r="N284" s="1">
        <v>3</v>
      </c>
      <c r="O284" s="1" t="s">
        <v>17</v>
      </c>
      <c r="P284" s="1">
        <v>1200</v>
      </c>
      <c r="Q284" s="5" t="s">
        <v>33</v>
      </c>
      <c r="R284" s="11" t="s">
        <v>677</v>
      </c>
    </row>
    <row r="285" spans="1:18" x14ac:dyDescent="0.3">
      <c r="A285" s="4">
        <v>284</v>
      </c>
      <c r="B285" s="1" t="s">
        <v>353</v>
      </c>
      <c r="C285" s="1">
        <v>3490091</v>
      </c>
      <c r="D285" s="1" t="s">
        <v>16</v>
      </c>
      <c r="E285" s="1">
        <v>41</v>
      </c>
      <c r="F285" s="1" t="str" cm="1">
        <f t="array" ref="F285">_xlfn.IFS(Table1[[#This Row],[age]]&gt;=50,"senior",Table1[[#This Row],[age]]&gt;20,"adult",Table1[[#This Row],[age]]&lt;=20,"teenager")</f>
        <v>adult</v>
      </c>
      <c r="G285" s="3">
        <v>45667</v>
      </c>
      <c r="H285" s="1" t="str">
        <f>TEXT(Table1[[#This Row],[date]],"mmm")</f>
        <v>Jan</v>
      </c>
      <c r="I285" s="1" t="s">
        <v>673</v>
      </c>
      <c r="J285" s="1" t="s">
        <v>654</v>
      </c>
      <c r="K285" s="1" t="s">
        <v>48</v>
      </c>
      <c r="L285" s="1" t="s">
        <v>60</v>
      </c>
      <c r="M285" s="1" t="s">
        <v>42</v>
      </c>
      <c r="N285" s="1">
        <v>3</v>
      </c>
      <c r="O285" s="1" t="s">
        <v>17</v>
      </c>
      <c r="P285" s="1">
        <v>560</v>
      </c>
      <c r="Q285" s="5" t="s">
        <v>33</v>
      </c>
      <c r="R285" s="11" t="s">
        <v>677</v>
      </c>
    </row>
    <row r="286" spans="1:18" x14ac:dyDescent="0.3">
      <c r="A286" s="4">
        <v>285</v>
      </c>
      <c r="B286" s="1" t="s">
        <v>354</v>
      </c>
      <c r="C286" s="1">
        <v>3501202</v>
      </c>
      <c r="D286" s="1" t="s">
        <v>16</v>
      </c>
      <c r="E286" s="1">
        <v>43</v>
      </c>
      <c r="F286" s="1" t="str" cm="1">
        <f t="array" ref="F286">_xlfn.IFS(Table1[[#This Row],[age]]&gt;=50,"senior",Table1[[#This Row],[age]]&gt;20,"adult",Table1[[#This Row],[age]]&lt;=20,"teenager")</f>
        <v>adult</v>
      </c>
      <c r="G286" s="3">
        <v>45306</v>
      </c>
      <c r="H286" s="1" t="str">
        <f>TEXT(Table1[[#This Row],[date]],"mmm")</f>
        <v>Jan</v>
      </c>
      <c r="I286" s="1" t="s">
        <v>673</v>
      </c>
      <c r="J286" s="1" t="s">
        <v>655</v>
      </c>
      <c r="K286" s="1" t="s">
        <v>50</v>
      </c>
      <c r="L286" s="1" t="s">
        <v>60</v>
      </c>
      <c r="M286" s="1" t="s">
        <v>42</v>
      </c>
      <c r="N286" s="1">
        <v>3</v>
      </c>
      <c r="O286" s="1" t="s">
        <v>17</v>
      </c>
      <c r="P286" s="1">
        <v>568</v>
      </c>
      <c r="Q286" s="5" t="s">
        <v>33</v>
      </c>
      <c r="R286" s="11" t="s">
        <v>677</v>
      </c>
    </row>
    <row r="287" spans="1:18" x14ac:dyDescent="0.3">
      <c r="A287" s="4">
        <v>286</v>
      </c>
      <c r="B287" s="1" t="s">
        <v>355</v>
      </c>
      <c r="C287" s="1">
        <v>3512313</v>
      </c>
      <c r="D287" s="1" t="s">
        <v>16</v>
      </c>
      <c r="E287" s="1">
        <v>45</v>
      </c>
      <c r="F287" s="1" t="str" cm="1">
        <f t="array" ref="F287">_xlfn.IFS(Table1[[#This Row],[age]]&gt;=50,"senior",Table1[[#This Row],[age]]&gt;20,"adult",Table1[[#This Row],[age]]&lt;=20,"teenager")</f>
        <v>adult</v>
      </c>
      <c r="G287" s="3">
        <v>45317</v>
      </c>
      <c r="H287" s="1" t="str">
        <f>TEXT(Table1[[#This Row],[date]],"mmm")</f>
        <v>Jan</v>
      </c>
      <c r="I287" s="1" t="s">
        <v>673</v>
      </c>
      <c r="J287" s="1" t="s">
        <v>656</v>
      </c>
      <c r="K287" s="1" t="s">
        <v>50</v>
      </c>
      <c r="L287" s="1" t="s">
        <v>54</v>
      </c>
      <c r="M287" s="1" t="s">
        <v>42</v>
      </c>
      <c r="N287" s="1">
        <v>3</v>
      </c>
      <c r="O287" s="1" t="s">
        <v>17</v>
      </c>
      <c r="P287" s="1">
        <v>576</v>
      </c>
      <c r="Q287" s="5" t="s">
        <v>33</v>
      </c>
      <c r="R287" s="11" t="s">
        <v>677</v>
      </c>
    </row>
    <row r="288" spans="1:18" x14ac:dyDescent="0.3">
      <c r="A288" s="4">
        <v>287</v>
      </c>
      <c r="B288" s="1" t="s">
        <v>356</v>
      </c>
      <c r="C288" s="1">
        <v>3523424</v>
      </c>
      <c r="D288" s="1" t="s">
        <v>16</v>
      </c>
      <c r="E288" s="1">
        <v>47</v>
      </c>
      <c r="F288" s="1" t="str" cm="1">
        <f t="array" ref="F288">_xlfn.IFS(Table1[[#This Row],[age]]&gt;=50,"senior",Table1[[#This Row],[age]]&gt;20,"adult",Table1[[#This Row],[age]]&lt;=20,"teenager")</f>
        <v>adult</v>
      </c>
      <c r="G288" s="3">
        <v>45328</v>
      </c>
      <c r="H288" s="1" t="str">
        <f>TEXT(Table1[[#This Row],[date]],"mmm")</f>
        <v>Feb</v>
      </c>
      <c r="I288" s="1" t="s">
        <v>673</v>
      </c>
      <c r="J288" s="1" t="s">
        <v>657</v>
      </c>
      <c r="K288" s="1" t="s">
        <v>50</v>
      </c>
      <c r="L288" s="1" t="s">
        <v>54</v>
      </c>
      <c r="M288" s="1" t="s">
        <v>42</v>
      </c>
      <c r="N288" s="1">
        <v>3</v>
      </c>
      <c r="O288" s="1" t="s">
        <v>17</v>
      </c>
      <c r="P288" s="1">
        <v>584</v>
      </c>
      <c r="Q288" s="5" t="s">
        <v>18</v>
      </c>
      <c r="R288" s="11" t="s">
        <v>677</v>
      </c>
    </row>
    <row r="289" spans="1:18" x14ac:dyDescent="0.3">
      <c r="A289" s="4">
        <v>288</v>
      </c>
      <c r="B289" s="1" t="s">
        <v>357</v>
      </c>
      <c r="C289" s="1">
        <v>3534535</v>
      </c>
      <c r="D289" s="1" t="s">
        <v>16</v>
      </c>
      <c r="E289" s="1">
        <v>22</v>
      </c>
      <c r="F289" s="1" t="str" cm="1">
        <f t="array" ref="F289">_xlfn.IFS(Table1[[#This Row],[age]]&gt;=50,"senior",Table1[[#This Row],[age]]&gt;20,"adult",Table1[[#This Row],[age]]&lt;=20,"teenager")</f>
        <v>adult</v>
      </c>
      <c r="G289" s="3">
        <v>45339</v>
      </c>
      <c r="H289" s="1" t="str">
        <f>TEXT(Table1[[#This Row],[date]],"mmm")</f>
        <v>Feb</v>
      </c>
      <c r="I289" s="1" t="s">
        <v>673</v>
      </c>
      <c r="J289" s="1" t="s">
        <v>658</v>
      </c>
      <c r="K289" s="1" t="s">
        <v>50</v>
      </c>
      <c r="L289" s="1" t="s">
        <v>54</v>
      </c>
      <c r="M289" s="1" t="s">
        <v>43</v>
      </c>
      <c r="N289" s="1">
        <v>3</v>
      </c>
      <c r="O289" s="1" t="s">
        <v>17</v>
      </c>
      <c r="P289" s="1">
        <v>592</v>
      </c>
      <c r="Q289" s="5" t="s">
        <v>23</v>
      </c>
      <c r="R289" s="11" t="s">
        <v>677</v>
      </c>
    </row>
    <row r="290" spans="1:18" x14ac:dyDescent="0.3">
      <c r="A290" s="4">
        <v>289</v>
      </c>
      <c r="B290" s="1" t="s">
        <v>358</v>
      </c>
      <c r="C290" s="1">
        <v>3545646</v>
      </c>
      <c r="D290" s="1" t="s">
        <v>16</v>
      </c>
      <c r="E290" s="1">
        <v>21</v>
      </c>
      <c r="F290" s="1" t="str" cm="1">
        <f t="array" ref="F290">_xlfn.IFS(Table1[[#This Row],[age]]&gt;=50,"senior",Table1[[#This Row],[age]]&gt;20,"adult",Table1[[#This Row],[age]]&lt;=20,"teenager")</f>
        <v>adult</v>
      </c>
      <c r="G290" s="3">
        <v>45342</v>
      </c>
      <c r="H290" s="1" t="str">
        <f>TEXT(Table1[[#This Row],[date]],"mmm")</f>
        <v>Feb</v>
      </c>
      <c r="I290" s="1" t="s">
        <v>673</v>
      </c>
      <c r="J290" s="1" t="s">
        <v>659</v>
      </c>
      <c r="K290" s="1" t="s">
        <v>50</v>
      </c>
      <c r="L290" s="1" t="s">
        <v>54</v>
      </c>
      <c r="M290" s="1" t="s">
        <v>43</v>
      </c>
      <c r="N290" s="1">
        <v>3</v>
      </c>
      <c r="O290" s="1" t="s">
        <v>17</v>
      </c>
      <c r="P290" s="1">
        <v>600</v>
      </c>
      <c r="Q290" s="5" t="s">
        <v>23</v>
      </c>
      <c r="R290" s="11" t="s">
        <v>677</v>
      </c>
    </row>
    <row r="291" spans="1:18" x14ac:dyDescent="0.3">
      <c r="A291" s="4">
        <v>290</v>
      </c>
      <c r="B291" s="1" t="s">
        <v>359</v>
      </c>
      <c r="C291" s="1">
        <v>3556757</v>
      </c>
      <c r="D291" s="1" t="s">
        <v>16</v>
      </c>
      <c r="E291" s="1">
        <v>34</v>
      </c>
      <c r="F291" s="1" t="str" cm="1">
        <f t="array" ref="F291">_xlfn.IFS(Table1[[#This Row],[age]]&gt;=50,"senior",Table1[[#This Row],[age]]&gt;20,"adult",Table1[[#This Row],[age]]&lt;=20,"teenager")</f>
        <v>adult</v>
      </c>
      <c r="G291" s="3">
        <v>45345</v>
      </c>
      <c r="H291" s="1" t="str">
        <f>TEXT(Table1[[#This Row],[date]],"mmm")</f>
        <v>Feb</v>
      </c>
      <c r="I291" s="1" t="s">
        <v>674</v>
      </c>
      <c r="J291" s="1" t="s">
        <v>660</v>
      </c>
      <c r="K291" s="1" t="s">
        <v>38</v>
      </c>
      <c r="L291" s="1" t="s">
        <v>57</v>
      </c>
      <c r="M291" s="1" t="s">
        <v>43</v>
      </c>
      <c r="N291" s="1">
        <v>3</v>
      </c>
      <c r="O291" s="1" t="s">
        <v>17</v>
      </c>
      <c r="P291" s="1">
        <v>608</v>
      </c>
      <c r="Q291" s="5" t="s">
        <v>23</v>
      </c>
      <c r="R291" s="11" t="s">
        <v>677</v>
      </c>
    </row>
    <row r="292" spans="1:18" x14ac:dyDescent="0.3">
      <c r="A292" s="4">
        <v>291</v>
      </c>
      <c r="B292" s="1" t="s">
        <v>360</v>
      </c>
      <c r="C292" s="1">
        <v>3567868</v>
      </c>
      <c r="D292" s="1" t="s">
        <v>16</v>
      </c>
      <c r="E292" s="1">
        <v>43</v>
      </c>
      <c r="F292" s="1" t="str" cm="1">
        <f t="array" ref="F292">_xlfn.IFS(Table1[[#This Row],[age]]&gt;=50,"senior",Table1[[#This Row],[age]]&gt;20,"adult",Table1[[#This Row],[age]]&lt;=20,"teenager")</f>
        <v>adult</v>
      </c>
      <c r="G292" s="3">
        <v>45348</v>
      </c>
      <c r="H292" s="1" t="str">
        <f>TEXT(Table1[[#This Row],[date]],"mmm")</f>
        <v>Feb</v>
      </c>
      <c r="I292" s="1" t="s">
        <v>673</v>
      </c>
      <c r="J292" s="1" t="s">
        <v>661</v>
      </c>
      <c r="K292" s="1" t="s">
        <v>38</v>
      </c>
      <c r="L292" s="1" t="s">
        <v>57</v>
      </c>
      <c r="M292" s="1" t="s">
        <v>43</v>
      </c>
      <c r="N292" s="1">
        <v>3</v>
      </c>
      <c r="O292" s="1" t="s">
        <v>17</v>
      </c>
      <c r="P292" s="1">
        <v>1000</v>
      </c>
      <c r="Q292" s="5" t="s">
        <v>23</v>
      </c>
      <c r="R292" s="11" t="s">
        <v>677</v>
      </c>
    </row>
    <row r="293" spans="1:18" x14ac:dyDescent="0.3">
      <c r="A293" s="4">
        <v>292</v>
      </c>
      <c r="B293" s="1" t="s">
        <v>361</v>
      </c>
      <c r="C293" s="1">
        <v>3578979</v>
      </c>
      <c r="D293" s="1" t="s">
        <v>16</v>
      </c>
      <c r="E293" s="1">
        <v>33</v>
      </c>
      <c r="F293" s="1" t="str" cm="1">
        <f t="array" ref="F293">_xlfn.IFS(Table1[[#This Row],[age]]&gt;=50,"senior",Table1[[#This Row],[age]]&gt;20,"adult",Table1[[#This Row],[age]]&lt;=20,"teenager")</f>
        <v>adult</v>
      </c>
      <c r="G293" s="3">
        <v>45351</v>
      </c>
      <c r="H293" s="1" t="str">
        <f>TEXT(Table1[[#This Row],[date]],"mmm")</f>
        <v>Feb</v>
      </c>
      <c r="I293" s="1" t="s">
        <v>673</v>
      </c>
      <c r="J293" s="1" t="s">
        <v>662</v>
      </c>
      <c r="K293" s="1" t="s">
        <v>38</v>
      </c>
      <c r="L293" s="1" t="s">
        <v>57</v>
      </c>
      <c r="M293" s="1" t="s">
        <v>43</v>
      </c>
      <c r="N293" s="1">
        <v>3</v>
      </c>
      <c r="O293" s="1" t="s">
        <v>17</v>
      </c>
      <c r="P293" s="1">
        <v>1234</v>
      </c>
      <c r="Q293" s="5" t="s">
        <v>25</v>
      </c>
      <c r="R293" s="11" t="s">
        <v>677</v>
      </c>
    </row>
    <row r="294" spans="1:18" x14ac:dyDescent="0.3">
      <c r="A294" s="4">
        <v>293</v>
      </c>
      <c r="B294" s="1" t="s">
        <v>362</v>
      </c>
      <c r="C294" s="1">
        <v>3590090</v>
      </c>
      <c r="D294" s="1" t="s">
        <v>15</v>
      </c>
      <c r="E294" s="1">
        <v>29</v>
      </c>
      <c r="F294" s="1" t="str" cm="1">
        <f t="array" ref="F294">_xlfn.IFS(Table1[[#This Row],[age]]&gt;=50,"senior",Table1[[#This Row],[age]]&gt;20,"adult",Table1[[#This Row],[age]]&lt;=20,"teenager")</f>
        <v>adult</v>
      </c>
      <c r="G294" s="3">
        <v>45354</v>
      </c>
      <c r="H294" s="1" t="str">
        <f>TEXT(Table1[[#This Row],[date]],"mmm")</f>
        <v>Mar</v>
      </c>
      <c r="I294" s="1" t="s">
        <v>673</v>
      </c>
      <c r="J294" s="1" t="s">
        <v>663</v>
      </c>
      <c r="K294" s="1" t="s">
        <v>38</v>
      </c>
      <c r="L294" s="1" t="s">
        <v>57</v>
      </c>
      <c r="M294" s="1" t="s">
        <v>40</v>
      </c>
      <c r="N294" s="1">
        <v>3</v>
      </c>
      <c r="O294" s="1" t="s">
        <v>17</v>
      </c>
      <c r="P294" s="1">
        <v>1468</v>
      </c>
      <c r="Q294" s="5" t="s">
        <v>25</v>
      </c>
      <c r="R294" s="11" t="s">
        <v>677</v>
      </c>
    </row>
    <row r="295" spans="1:18" x14ac:dyDescent="0.3">
      <c r="A295" s="4">
        <v>294</v>
      </c>
      <c r="B295" s="1" t="s">
        <v>363</v>
      </c>
      <c r="C295" s="1">
        <v>3601201</v>
      </c>
      <c r="D295" s="1" t="s">
        <v>15</v>
      </c>
      <c r="E295" s="1">
        <v>36</v>
      </c>
      <c r="F295" s="1" t="str" cm="1">
        <f t="array" ref="F295">_xlfn.IFS(Table1[[#This Row],[age]]&gt;=50,"senior",Table1[[#This Row],[age]]&gt;20,"adult",Table1[[#This Row],[age]]&lt;=20,"teenager")</f>
        <v>adult</v>
      </c>
      <c r="G295" s="3">
        <v>45357</v>
      </c>
      <c r="H295" s="1" t="str">
        <f>TEXT(Table1[[#This Row],[date]],"mmm")</f>
        <v>Mar</v>
      </c>
      <c r="I295" s="1" t="s">
        <v>673</v>
      </c>
      <c r="J295" s="1" t="s">
        <v>664</v>
      </c>
      <c r="K295" s="1" t="s">
        <v>38</v>
      </c>
      <c r="L295" s="1" t="s">
        <v>60</v>
      </c>
      <c r="M295" s="1" t="s">
        <v>40</v>
      </c>
      <c r="N295" s="1">
        <v>3</v>
      </c>
      <c r="O295" s="1" t="s">
        <v>17</v>
      </c>
      <c r="P295" s="1">
        <v>1702</v>
      </c>
      <c r="Q295" s="5" t="s">
        <v>25</v>
      </c>
      <c r="R295" s="11" t="s">
        <v>677</v>
      </c>
    </row>
    <row r="296" spans="1:18" x14ac:dyDescent="0.3">
      <c r="A296" s="4">
        <v>295</v>
      </c>
      <c r="B296" s="1" t="s">
        <v>364</v>
      </c>
      <c r="C296" s="1">
        <v>3612312</v>
      </c>
      <c r="D296" s="1" t="s">
        <v>15</v>
      </c>
      <c r="E296" s="1">
        <v>38</v>
      </c>
      <c r="F296" s="1" t="str" cm="1">
        <f t="array" ref="F296">_xlfn.IFS(Table1[[#This Row],[age]]&gt;=50,"senior",Table1[[#This Row],[age]]&gt;20,"adult",Table1[[#This Row],[age]]&lt;=20,"teenager")</f>
        <v>adult</v>
      </c>
      <c r="G296" s="3">
        <v>45360</v>
      </c>
      <c r="H296" s="1" t="str">
        <f>TEXT(Table1[[#This Row],[date]],"mmm")</f>
        <v>Mar</v>
      </c>
      <c r="I296" s="1" t="s">
        <v>674</v>
      </c>
      <c r="J296" s="1" t="s">
        <v>665</v>
      </c>
      <c r="K296" s="1" t="s">
        <v>48</v>
      </c>
      <c r="L296" s="1" t="s">
        <v>59</v>
      </c>
      <c r="M296" s="1" t="s">
        <v>40</v>
      </c>
      <c r="N296" s="1">
        <v>3</v>
      </c>
      <c r="O296" s="1" t="s">
        <v>17</v>
      </c>
      <c r="P296" s="1">
        <v>1936</v>
      </c>
      <c r="Q296" s="5" t="s">
        <v>25</v>
      </c>
      <c r="R296" s="11" t="s">
        <v>677</v>
      </c>
    </row>
    <row r="297" spans="1:18" x14ac:dyDescent="0.3">
      <c r="A297" s="4">
        <v>296</v>
      </c>
      <c r="B297" s="1" t="s">
        <v>365</v>
      </c>
      <c r="C297" s="1">
        <v>3623423</v>
      </c>
      <c r="D297" s="1" t="s">
        <v>16</v>
      </c>
      <c r="E297" s="1">
        <v>40</v>
      </c>
      <c r="F297" s="1" t="str" cm="1">
        <f t="array" ref="F297">_xlfn.IFS(Table1[[#This Row],[age]]&gt;=50,"senior",Table1[[#This Row],[age]]&gt;20,"adult",Table1[[#This Row],[age]]&lt;=20,"teenager")</f>
        <v>adult</v>
      </c>
      <c r="G297" s="3">
        <v>45363</v>
      </c>
      <c r="H297" s="1" t="str">
        <f>TEXT(Table1[[#This Row],[date]],"mmm")</f>
        <v>Mar</v>
      </c>
      <c r="I297" s="1" t="s">
        <v>673</v>
      </c>
      <c r="J297" s="1" t="s">
        <v>666</v>
      </c>
      <c r="K297" s="1" t="s">
        <v>48</v>
      </c>
      <c r="L297" s="1" t="s">
        <v>61</v>
      </c>
      <c r="M297" s="1" t="s">
        <v>45</v>
      </c>
      <c r="N297" s="1">
        <v>3</v>
      </c>
      <c r="O297" s="1" t="s">
        <v>17</v>
      </c>
      <c r="P297" s="1">
        <v>1234</v>
      </c>
      <c r="Q297" s="5" t="s">
        <v>24</v>
      </c>
      <c r="R297" s="11" t="s">
        <v>677</v>
      </c>
    </row>
    <row r="298" spans="1:18" x14ac:dyDescent="0.3">
      <c r="A298" s="4">
        <v>297</v>
      </c>
      <c r="B298" s="1" t="s">
        <v>366</v>
      </c>
      <c r="C298" s="1">
        <v>3634534</v>
      </c>
      <c r="D298" s="1" t="s">
        <v>16</v>
      </c>
      <c r="E298" s="1">
        <v>42</v>
      </c>
      <c r="F298" s="1" t="str" cm="1">
        <f t="array" ref="F298">_xlfn.IFS(Table1[[#This Row],[age]]&gt;=50,"senior",Table1[[#This Row],[age]]&gt;20,"adult",Table1[[#This Row],[age]]&lt;=20,"teenager")</f>
        <v>adult</v>
      </c>
      <c r="G298" s="3">
        <v>45366</v>
      </c>
      <c r="H298" s="1" t="str">
        <f>TEXT(Table1[[#This Row],[date]],"mmm")</f>
        <v>Mar</v>
      </c>
      <c r="I298" s="1" t="s">
        <v>673</v>
      </c>
      <c r="J298" s="1" t="s">
        <v>667</v>
      </c>
      <c r="K298" s="1" t="s">
        <v>48</v>
      </c>
      <c r="L298" s="1" t="s">
        <v>61</v>
      </c>
      <c r="M298" s="1" t="s">
        <v>45</v>
      </c>
      <c r="N298" s="1">
        <v>3</v>
      </c>
      <c r="O298" s="1" t="s">
        <v>17</v>
      </c>
      <c r="P298" s="1">
        <v>1256</v>
      </c>
      <c r="Q298" s="5" t="s">
        <v>24</v>
      </c>
      <c r="R298" s="11" t="s">
        <v>677</v>
      </c>
    </row>
    <row r="299" spans="1:18" x14ac:dyDescent="0.3">
      <c r="A299" s="4">
        <v>298</v>
      </c>
      <c r="B299" s="1" t="s">
        <v>367</v>
      </c>
      <c r="C299" s="1">
        <v>3645645</v>
      </c>
      <c r="D299" s="1" t="s">
        <v>15</v>
      </c>
      <c r="E299" s="1">
        <v>27</v>
      </c>
      <c r="F299" s="1" t="str" cm="1">
        <f t="array" ref="F299">_xlfn.IFS(Table1[[#This Row],[age]]&gt;=50,"senior",Table1[[#This Row],[age]]&gt;20,"adult",Table1[[#This Row],[age]]&lt;=20,"teenager")</f>
        <v>adult</v>
      </c>
      <c r="G299" s="3">
        <v>45369</v>
      </c>
      <c r="H299" s="1" t="str">
        <f>TEXT(Table1[[#This Row],[date]],"mmm")</f>
        <v>Mar</v>
      </c>
      <c r="I299" s="1" t="s">
        <v>675</v>
      </c>
      <c r="J299" s="1" t="s">
        <v>668</v>
      </c>
      <c r="K299" s="1" t="s">
        <v>48</v>
      </c>
      <c r="L299" s="1" t="s">
        <v>57</v>
      </c>
      <c r="M299" s="1" t="s">
        <v>45</v>
      </c>
      <c r="N299" s="1">
        <v>3</v>
      </c>
      <c r="O299" s="1" t="s">
        <v>17</v>
      </c>
      <c r="P299" s="1">
        <v>1278</v>
      </c>
      <c r="Q299" s="5" t="s">
        <v>24</v>
      </c>
      <c r="R299" s="11" t="s">
        <v>677</v>
      </c>
    </row>
    <row r="300" spans="1:18" x14ac:dyDescent="0.3">
      <c r="A300" s="4">
        <v>299</v>
      </c>
      <c r="B300" s="1" t="s">
        <v>368</v>
      </c>
      <c r="C300" s="1">
        <v>3656756</v>
      </c>
      <c r="D300" s="1" t="s">
        <v>15</v>
      </c>
      <c r="E300" s="1">
        <v>28</v>
      </c>
      <c r="F300" s="1" t="str" cm="1">
        <f t="array" ref="F300">_xlfn.IFS(Table1[[#This Row],[age]]&gt;=50,"senior",Table1[[#This Row],[age]]&gt;20,"adult",Table1[[#This Row],[age]]&lt;=20,"teenager")</f>
        <v>adult</v>
      </c>
      <c r="G300" s="3">
        <v>45372</v>
      </c>
      <c r="H300" s="1" t="str">
        <f>TEXT(Table1[[#This Row],[date]],"mmm")</f>
        <v>Mar</v>
      </c>
      <c r="I300" s="1" t="s">
        <v>673</v>
      </c>
      <c r="J300" s="1" t="s">
        <v>669</v>
      </c>
      <c r="K300" s="1" t="s">
        <v>39</v>
      </c>
      <c r="L300" s="1" t="s">
        <v>54</v>
      </c>
      <c r="M300" s="1" t="s">
        <v>43</v>
      </c>
      <c r="N300" s="1">
        <v>3</v>
      </c>
      <c r="O300" s="1" t="s">
        <v>17</v>
      </c>
      <c r="P300" s="1">
        <v>1300</v>
      </c>
      <c r="Q300" s="5" t="s">
        <v>29</v>
      </c>
      <c r="R300" s="11" t="s">
        <v>677</v>
      </c>
    </row>
    <row r="301" spans="1:18" x14ac:dyDescent="0.3">
      <c r="A301" s="9">
        <v>300</v>
      </c>
      <c r="B301" s="2" t="s">
        <v>369</v>
      </c>
      <c r="C301" s="2">
        <v>3667867</v>
      </c>
      <c r="D301" s="2" t="s">
        <v>16</v>
      </c>
      <c r="E301" s="2">
        <v>29</v>
      </c>
      <c r="F301" s="2" t="str" cm="1">
        <f t="array" ref="F301">_xlfn.IFS(Table1[[#This Row],[age]]&gt;=50,"senior",Table1[[#This Row],[age]]&gt;20,"adult",Table1[[#This Row],[age]]&lt;=20,"teenager")</f>
        <v>adult</v>
      </c>
      <c r="G301" s="3">
        <v>45375</v>
      </c>
      <c r="H301" s="2" t="str">
        <f>TEXT(Table1[[#This Row],[date]],"mmm")</f>
        <v>Mar</v>
      </c>
      <c r="I301" s="2" t="s">
        <v>673</v>
      </c>
      <c r="J301" s="2" t="s">
        <v>670</v>
      </c>
      <c r="K301" s="2" t="s">
        <v>39</v>
      </c>
      <c r="L301" s="2" t="s">
        <v>57</v>
      </c>
      <c r="M301" s="2" t="s">
        <v>43</v>
      </c>
      <c r="N301" s="2">
        <v>3</v>
      </c>
      <c r="O301" s="2" t="s">
        <v>17</v>
      </c>
      <c r="P301" s="2">
        <v>1322</v>
      </c>
      <c r="Q301" s="10" t="s">
        <v>29</v>
      </c>
      <c r="R301" s="11" t="s">
        <v>677</v>
      </c>
    </row>
  </sheetData>
  <phoneticPr fontId="3" type="noConversion"/>
  <conditionalFormatting sqref="D1:D1048576">
    <cfRule type="containsText" dxfId="0" priority="1" operator="containsText" text="female">
      <formula>NOT(ISERROR(SEARCH("female",D1)))</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sales vs orders</vt:lpstr>
      <vt:lpstr>female vs male</vt:lpstr>
      <vt:lpstr>age_group</vt:lpstr>
      <vt:lpstr>Vanshika store report</vt:lpstr>
      <vt:lpstr>sales citywise</vt:lpstr>
      <vt:lpstr>order status</vt:lpstr>
      <vt:lpstr>order channel</vt:lpstr>
      <vt:lpstr>categoryquantity</vt:lpstr>
      <vt:lpstr>data_clothing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pranjal chawla</dc:creator>
  <cp:lastModifiedBy>pranjal chawla</cp:lastModifiedBy>
  <dcterms:created xsi:type="dcterms:W3CDTF">2025-08-03T15:01:19Z</dcterms:created>
  <dcterms:modified xsi:type="dcterms:W3CDTF">2025-11-22T10:31:10Z</dcterms:modified>
</cp:coreProperties>
</file>